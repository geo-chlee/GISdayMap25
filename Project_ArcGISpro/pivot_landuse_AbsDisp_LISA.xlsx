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\DinSAR\Results_251002\Data_Analysis\Revised_Data_Analysis\"/>
    </mc:Choice>
  </mc:AlternateContent>
  <xr:revisionPtr revIDLastSave="0" documentId="13_ncr:2001_{A53B97D8-CA62-4FDB-98D8-A0DA34BCB96C}" xr6:coauthVersionLast="47" xr6:coauthVersionMax="47" xr10:uidLastSave="{00000000-0000-0000-0000-000000000000}"/>
  <bookViews>
    <workbookView xWindow="-28920" yWindow="-120" windowWidth="29040" windowHeight="15720" xr2:uid="{E652C996-4D48-4392-8045-AA474D11F604}"/>
  </bookViews>
  <sheets>
    <sheet name="pivot_landuse_AbsDisp_LIS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9" i="1"/>
  <c r="F31" i="1"/>
  <c r="E31" i="1"/>
  <c r="D31" i="1"/>
  <c r="C31" i="1"/>
  <c r="B31" i="1"/>
  <c r="F30" i="1"/>
  <c r="F32" i="1" s="1"/>
  <c r="E30" i="1"/>
  <c r="E32" i="1" s="1"/>
  <c r="D30" i="1"/>
  <c r="C30" i="1"/>
  <c r="B30" i="1"/>
  <c r="F29" i="1"/>
  <c r="E29" i="1"/>
  <c r="D29" i="1"/>
  <c r="D32" i="1" s="1"/>
  <c r="C29" i="1"/>
  <c r="C32" i="1" s="1"/>
  <c r="B29" i="1"/>
  <c r="B32" i="1" s="1"/>
  <c r="O22" i="1" l="1"/>
  <c r="F56" i="1" s="1"/>
  <c r="O21" i="1"/>
  <c r="F55" i="1" s="1"/>
  <c r="O20" i="1"/>
  <c r="F54" i="1" s="1"/>
  <c r="O19" i="1"/>
  <c r="F53" i="1" s="1"/>
  <c r="O18" i="1"/>
  <c r="F52" i="1" s="1"/>
  <c r="O17" i="1"/>
  <c r="F51" i="1" s="1"/>
  <c r="O16" i="1"/>
  <c r="F50" i="1" s="1"/>
  <c r="G24" i="1"/>
  <c r="G23" i="1"/>
  <c r="G22" i="1"/>
  <c r="G21" i="1"/>
  <c r="G20" i="1"/>
  <c r="G19" i="1"/>
  <c r="G18" i="1"/>
  <c r="G17" i="1"/>
  <c r="G16" i="1"/>
  <c r="G27" i="1"/>
  <c r="G26" i="1"/>
  <c r="G25" i="1"/>
  <c r="G15" i="1"/>
  <c r="G14" i="1"/>
  <c r="G13" i="1"/>
  <c r="G12" i="1"/>
  <c r="G11" i="1"/>
  <c r="G10" i="1"/>
  <c r="G9" i="1"/>
  <c r="G8" i="1"/>
  <c r="G7" i="1"/>
  <c r="G6" i="1"/>
  <c r="G5" i="1"/>
  <c r="G32" i="1" l="1"/>
  <c r="P13" i="1" s="1"/>
  <c r="G47" i="1" s="1"/>
  <c r="L26" i="1"/>
  <c r="C60" i="1" s="1"/>
  <c r="L25" i="1"/>
  <c r="C59" i="1" s="1"/>
  <c r="L12" i="1"/>
  <c r="C46" i="1" s="1"/>
  <c r="L11" i="1"/>
  <c r="C45" i="1" s="1"/>
  <c r="O25" i="1"/>
  <c r="F59" i="1" s="1"/>
  <c r="O26" i="1"/>
  <c r="F60" i="1" s="1"/>
  <c r="O27" i="1"/>
  <c r="F61" i="1" s="1"/>
  <c r="L15" i="1"/>
  <c r="C49" i="1" s="1"/>
  <c r="L14" i="1"/>
  <c r="C48" i="1" s="1"/>
  <c r="L13" i="1"/>
  <c r="C47" i="1" s="1"/>
  <c r="L10" i="1"/>
  <c r="C44" i="1" s="1"/>
  <c r="L8" i="1"/>
  <c r="C42" i="1" s="1"/>
  <c r="O24" i="1"/>
  <c r="F58" i="1" s="1"/>
  <c r="O5" i="1"/>
  <c r="F39" i="1" s="1"/>
  <c r="O6" i="1"/>
  <c r="F40" i="1" s="1"/>
  <c r="L23" i="1"/>
  <c r="C57" i="1" s="1"/>
  <c r="L19" i="1"/>
  <c r="C53" i="1" s="1"/>
  <c r="L17" i="1"/>
  <c r="C51" i="1" s="1"/>
  <c r="L16" i="1"/>
  <c r="C50" i="1" s="1"/>
  <c r="O14" i="1"/>
  <c r="F48" i="1" s="1"/>
  <c r="L9" i="1"/>
  <c r="C43" i="1" s="1"/>
  <c r="L7" i="1"/>
  <c r="C41" i="1" s="1"/>
  <c r="O23" i="1"/>
  <c r="F57" i="1" s="1"/>
  <c r="L6" i="1"/>
  <c r="C40" i="1" s="1"/>
  <c r="L5" i="1"/>
  <c r="C39" i="1" s="1"/>
  <c r="O8" i="1"/>
  <c r="F42" i="1" s="1"/>
  <c r="L21" i="1"/>
  <c r="C55" i="1" s="1"/>
  <c r="L20" i="1"/>
  <c r="C54" i="1" s="1"/>
  <c r="O12" i="1"/>
  <c r="F46" i="1" s="1"/>
  <c r="L27" i="1"/>
  <c r="C61" i="1" s="1"/>
  <c r="O15" i="1"/>
  <c r="F49" i="1" s="1"/>
  <c r="L24" i="1"/>
  <c r="C58" i="1" s="1"/>
  <c r="O7" i="1"/>
  <c r="F41" i="1" s="1"/>
  <c r="L22" i="1"/>
  <c r="C56" i="1" s="1"/>
  <c r="O9" i="1"/>
  <c r="F43" i="1" s="1"/>
  <c r="O10" i="1"/>
  <c r="F44" i="1" s="1"/>
  <c r="O11" i="1"/>
  <c r="F45" i="1" s="1"/>
  <c r="L18" i="1"/>
  <c r="C52" i="1" s="1"/>
  <c r="O13" i="1"/>
  <c r="F47" i="1" s="1"/>
  <c r="P14" i="1" l="1"/>
  <c r="G48" i="1" s="1"/>
  <c r="P15" i="1"/>
  <c r="G49" i="1" s="1"/>
  <c r="P12" i="1"/>
  <c r="G46" i="1" s="1"/>
  <c r="P10" i="1"/>
  <c r="G44" i="1" s="1"/>
  <c r="P8" i="1"/>
  <c r="G42" i="1" s="1"/>
  <c r="P23" i="1"/>
  <c r="G57" i="1" s="1"/>
  <c r="P21" i="1"/>
  <c r="G55" i="1" s="1"/>
  <c r="P20" i="1"/>
  <c r="G54" i="1" s="1"/>
  <c r="P16" i="1"/>
  <c r="G50" i="1" s="1"/>
  <c r="P27" i="1"/>
  <c r="G61" i="1" s="1"/>
  <c r="P26" i="1"/>
  <c r="G60" i="1" s="1"/>
  <c r="P25" i="1"/>
  <c r="G59" i="1" s="1"/>
  <c r="P18" i="1"/>
  <c r="G52" i="1" s="1"/>
  <c r="P17" i="1"/>
  <c r="G51" i="1" s="1"/>
  <c r="P24" i="1"/>
  <c r="G58" i="1" s="1"/>
  <c r="P22" i="1"/>
  <c r="G56" i="1" s="1"/>
  <c r="P5" i="1"/>
  <c r="G39" i="1" s="1"/>
  <c r="P11" i="1"/>
  <c r="G45" i="1" s="1"/>
  <c r="P9" i="1"/>
  <c r="G43" i="1" s="1"/>
  <c r="P7" i="1"/>
  <c r="G41" i="1" s="1"/>
  <c r="P6" i="1"/>
  <c r="G40" i="1" s="1"/>
  <c r="P19" i="1"/>
  <c r="G53" i="1" s="1"/>
</calcChain>
</file>

<file path=xl/sharedStrings.xml><?xml version="1.0" encoding="utf-8"?>
<sst xmlns="http://schemas.openxmlformats.org/spreadsheetml/2006/main" count="128" uniqueCount="37">
  <si>
    <t>sum</t>
  </si>
  <si>
    <t>Shape_Area</t>
  </si>
  <si>
    <t>COType</t>
  </si>
  <si>
    <t>HH</t>
  </si>
  <si>
    <t>HL</t>
  </si>
  <si>
    <t>LH</t>
  </si>
  <si>
    <t>LL</t>
  </si>
  <si>
    <t>RowLabel</t>
  </si>
  <si>
    <t>Artificial use | Building site</t>
  </si>
  <si>
    <t>Artificial use | Drainage</t>
  </si>
  <si>
    <t>Artificial use | Embankment</t>
  </si>
  <si>
    <t>Artificial use | Factory site</t>
  </si>
  <si>
    <t>Artificial use | Gas station</t>
  </si>
  <si>
    <t>Artificial use | Parking lot</t>
  </si>
  <si>
    <t>Artificial use | Railroad site</t>
  </si>
  <si>
    <t>Artificial use | Religious site</t>
  </si>
  <si>
    <t>Artificial use | Road</t>
  </si>
  <si>
    <t>Artificial use | Warehouse</t>
  </si>
  <si>
    <t>Artificial use | Water supply site</t>
  </si>
  <si>
    <t>Mixed use | Miscellaneous land</t>
  </si>
  <si>
    <t>Mixed use | School site</t>
  </si>
  <si>
    <t>Mixed use | Sports facility</t>
  </si>
  <si>
    <t>Natural use | Cemetery</t>
  </si>
  <si>
    <t>Natural use | Farmland</t>
  </si>
  <si>
    <t>Natural use | Forest</t>
  </si>
  <si>
    <t>Natural use | Orchard</t>
  </si>
  <si>
    <t>Natural use | Park area</t>
  </si>
  <si>
    <t>Natural use | Ranch</t>
  </si>
  <si>
    <t>Natural use | Reservoir</t>
  </si>
  <si>
    <t>Natural use | Rice paddy</t>
  </si>
  <si>
    <t>Natural use | River</t>
  </si>
  <si>
    <t>Insignificant</t>
  </si>
  <si>
    <t>Total</t>
  </si>
  <si>
    <t xml:space="preserve">Artificial use </t>
  </si>
  <si>
    <t xml:space="preserve">Natural use </t>
  </si>
  <si>
    <t>Mixed use</t>
  </si>
  <si>
    <t>Insignificance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</si>
</sst>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477E-42FB-4556-8ACD-E3A6C64D926E}">
  <dimension ref="A1:P61"/>
  <sheetViews>
    <sheetView tabSelected="1" topLeftCell="A16" workbookViewId="0">
      <selection activeCell="J26" sqref="J26"/>
    </sheetView>
  </sheetViews>
  <sheetFormatPr defaultRowHeight="15" x14ac:dyDescent="0.25"/>
  <cols>
    <col min="1" max="1" width="29.42578125" bestFit="1" customWidth="1"/>
    <col min="2" max="5" width="12" bestFit="1" customWidth="1"/>
    <col min="6" max="6" width="14.5703125" bestFit="1" customWidth="1"/>
    <col min="7" max="7" width="10" bestFit="1" customWidth="1"/>
    <col min="10" max="10" width="29.42578125" bestFit="1" customWidth="1"/>
    <col min="11" max="11" width="12" bestFit="1" customWidth="1"/>
    <col min="12" max="15" width="11.28515625" bestFit="1" customWidth="1"/>
    <col min="16" max="16" width="9" bestFit="1" customWidth="1"/>
  </cols>
  <sheetData>
    <row r="1" spans="1:16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 x14ac:dyDescent="0.25">
      <c r="B2" t="s">
        <v>1</v>
      </c>
      <c r="C2" t="s">
        <v>1</v>
      </c>
      <c r="D2" t="s">
        <v>1</v>
      </c>
      <c r="E2" t="s">
        <v>1</v>
      </c>
      <c r="F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6" x14ac:dyDescent="0.25">
      <c r="A3" t="s">
        <v>2</v>
      </c>
      <c r="B3" t="s">
        <v>31</v>
      </c>
      <c r="C3" t="s">
        <v>3</v>
      </c>
      <c r="D3" t="s">
        <v>4</v>
      </c>
      <c r="E3" t="s">
        <v>5</v>
      </c>
      <c r="F3" t="s">
        <v>6</v>
      </c>
      <c r="G3" t="s">
        <v>32</v>
      </c>
      <c r="J3" t="s">
        <v>2</v>
      </c>
      <c r="K3" t="s">
        <v>31</v>
      </c>
      <c r="L3" t="s">
        <v>3</v>
      </c>
      <c r="M3" t="s">
        <v>4</v>
      </c>
      <c r="N3" t="s">
        <v>5</v>
      </c>
      <c r="O3" t="s">
        <v>6</v>
      </c>
      <c r="P3" t="s">
        <v>32</v>
      </c>
    </row>
    <row r="4" spans="1:16" x14ac:dyDescent="0.25">
      <c r="A4" t="s">
        <v>7</v>
      </c>
      <c r="J4" t="s">
        <v>7</v>
      </c>
    </row>
    <row r="5" spans="1:16" x14ac:dyDescent="0.25">
      <c r="A5" t="s">
        <v>8</v>
      </c>
      <c r="B5" s="1">
        <v>5777574.2801772002</v>
      </c>
      <c r="C5" s="1">
        <v>1180016.3611125399</v>
      </c>
      <c r="D5" s="1">
        <v>2753.3007840741002</v>
      </c>
      <c r="E5" s="1">
        <v>1941.5664934177501</v>
      </c>
      <c r="F5" s="1">
        <v>3401705.3802205101</v>
      </c>
      <c r="G5" s="1">
        <f>SUM(B5:F5)</f>
        <v>10363990.888787743</v>
      </c>
      <c r="J5" t="s">
        <v>8</v>
      </c>
      <c r="K5" s="1"/>
      <c r="L5" s="2">
        <f t="shared" ref="L5:L27" si="0">C5/C$32</f>
        <v>3.1825993414170632E-2</v>
      </c>
      <c r="M5" s="1"/>
      <c r="N5" s="1"/>
      <c r="O5" s="2">
        <f t="shared" ref="O5:O27" si="1">F5/F$32</f>
        <v>7.9735189158366485E-2</v>
      </c>
      <c r="P5" s="2">
        <f t="shared" ref="P5:P27" si="2">G5/G$32</f>
        <v>7.6921875737296072E-2</v>
      </c>
    </row>
    <row r="6" spans="1:16" x14ac:dyDescent="0.25">
      <c r="A6" t="s">
        <v>9</v>
      </c>
      <c r="B6" s="1">
        <v>1194670.6921042199</v>
      </c>
      <c r="C6" s="1">
        <v>1055147.6522998901</v>
      </c>
      <c r="D6" s="1">
        <v>1467.8748289621301</v>
      </c>
      <c r="E6" s="1">
        <v>2159.26091758442</v>
      </c>
      <c r="F6" s="1">
        <v>624283.41792470997</v>
      </c>
      <c r="G6" s="1">
        <f t="shared" ref="G6:G24" si="3">SUM(B6:F6)</f>
        <v>2877728.8980753664</v>
      </c>
      <c r="J6" t="s">
        <v>9</v>
      </c>
      <c r="K6" s="1"/>
      <c r="L6" s="2">
        <f t="shared" si="0"/>
        <v>2.8458183580957336E-2</v>
      </c>
      <c r="M6" s="1"/>
      <c r="N6" s="1"/>
      <c r="O6" s="2">
        <f t="shared" si="1"/>
        <v>1.4633059260832157E-2</v>
      </c>
      <c r="P6" s="2">
        <f t="shared" si="2"/>
        <v>2.1358596999815713E-2</v>
      </c>
    </row>
    <row r="7" spans="1:16" x14ac:dyDescent="0.25">
      <c r="A7" t="s">
        <v>10</v>
      </c>
      <c r="B7" s="1">
        <v>27314.5234945993</v>
      </c>
      <c r="C7" s="1">
        <v>36800.5803801328</v>
      </c>
      <c r="D7" s="1">
        <v>0</v>
      </c>
      <c r="E7" s="1">
        <v>0</v>
      </c>
      <c r="F7" s="1">
        <v>17435.775343129601</v>
      </c>
      <c r="G7" s="1">
        <f t="shared" si="3"/>
        <v>81550.8792178617</v>
      </c>
      <c r="J7" t="s">
        <v>10</v>
      </c>
      <c r="K7" s="1"/>
      <c r="L7" s="2">
        <f t="shared" si="0"/>
        <v>9.9254134723311942E-4</v>
      </c>
      <c r="M7" s="1"/>
      <c r="N7" s="1"/>
      <c r="O7" s="2">
        <f t="shared" si="1"/>
        <v>4.0869055068405149E-4</v>
      </c>
      <c r="P7" s="2">
        <f t="shared" si="2"/>
        <v>6.0527326439953528E-4</v>
      </c>
    </row>
    <row r="8" spans="1:16" x14ac:dyDescent="0.25">
      <c r="A8" t="s">
        <v>11</v>
      </c>
      <c r="B8" s="1">
        <v>1219015.8784979901</v>
      </c>
      <c r="C8" s="1">
        <v>71064.800228802895</v>
      </c>
      <c r="D8" s="1">
        <v>0</v>
      </c>
      <c r="E8" s="1">
        <v>0</v>
      </c>
      <c r="F8" s="1">
        <v>1128338.84452394</v>
      </c>
      <c r="G8" s="1">
        <f t="shared" si="3"/>
        <v>2418419.523250733</v>
      </c>
      <c r="J8" t="s">
        <v>11</v>
      </c>
      <c r="K8" s="1"/>
      <c r="L8" s="2">
        <f t="shared" si="0"/>
        <v>1.9166750043438847E-3</v>
      </c>
      <c r="M8" s="1"/>
      <c r="N8" s="1"/>
      <c r="O8" s="2">
        <f t="shared" si="1"/>
        <v>2.6448002147974665E-2</v>
      </c>
      <c r="P8" s="2">
        <f t="shared" si="2"/>
        <v>1.7949587957415043E-2</v>
      </c>
    </row>
    <row r="9" spans="1:16" x14ac:dyDescent="0.25">
      <c r="A9" t="s">
        <v>12</v>
      </c>
      <c r="B9" s="1">
        <v>35454.314113546498</v>
      </c>
      <c r="C9" s="1">
        <v>4751.96958571904</v>
      </c>
      <c r="D9" s="1">
        <v>0</v>
      </c>
      <c r="E9" s="1">
        <v>0</v>
      </c>
      <c r="F9" s="1">
        <v>27688.397157461</v>
      </c>
      <c r="G9" s="1">
        <f t="shared" si="3"/>
        <v>67894.68085672654</v>
      </c>
      <c r="J9" t="s">
        <v>12</v>
      </c>
      <c r="K9" s="1"/>
      <c r="L9" s="2">
        <f t="shared" si="0"/>
        <v>1.2816445409014944E-4</v>
      </c>
      <c r="M9" s="1"/>
      <c r="N9" s="1"/>
      <c r="O9" s="2">
        <f t="shared" si="1"/>
        <v>6.4900964018789204E-4</v>
      </c>
      <c r="P9" s="2">
        <f t="shared" si="2"/>
        <v>5.0391651827237074E-4</v>
      </c>
    </row>
    <row r="10" spans="1:16" x14ac:dyDescent="0.25">
      <c r="A10" t="s">
        <v>13</v>
      </c>
      <c r="B10" s="1">
        <v>31226.3374481137</v>
      </c>
      <c r="C10" s="1">
        <v>6339.4329255156299</v>
      </c>
      <c r="D10" s="1">
        <v>0</v>
      </c>
      <c r="E10" s="1">
        <v>0</v>
      </c>
      <c r="F10" s="1">
        <v>39441.8591191905</v>
      </c>
      <c r="G10" s="1">
        <f t="shared" si="3"/>
        <v>77007.629492819833</v>
      </c>
      <c r="J10" t="s">
        <v>13</v>
      </c>
      <c r="K10" s="1"/>
      <c r="L10" s="2">
        <f t="shared" si="0"/>
        <v>1.7097962128831439E-4</v>
      </c>
      <c r="M10" s="1"/>
      <c r="N10" s="1"/>
      <c r="O10" s="2">
        <f t="shared" si="1"/>
        <v>9.2450807642325368E-4</v>
      </c>
      <c r="P10" s="2">
        <f t="shared" si="2"/>
        <v>5.7155311792861797E-4</v>
      </c>
    </row>
    <row r="11" spans="1:16" x14ac:dyDescent="0.25">
      <c r="A11" t="s">
        <v>14</v>
      </c>
      <c r="B11" s="1">
        <v>136481.210985827</v>
      </c>
      <c r="C11" s="1">
        <v>0</v>
      </c>
      <c r="D11" s="1">
        <v>0</v>
      </c>
      <c r="E11" s="1">
        <v>0</v>
      </c>
      <c r="F11" s="1">
        <v>44851.022177364102</v>
      </c>
      <c r="G11" s="1">
        <f t="shared" si="3"/>
        <v>181332.23316319109</v>
      </c>
      <c r="J11" t="s">
        <v>14</v>
      </c>
      <c r="K11" s="1"/>
      <c r="L11" s="2">
        <f t="shared" si="0"/>
        <v>0</v>
      </c>
      <c r="M11" s="1"/>
      <c r="N11" s="1"/>
      <c r="O11" s="2">
        <f t="shared" si="1"/>
        <v>1.0512976103257935E-3</v>
      </c>
      <c r="P11" s="2">
        <f t="shared" si="2"/>
        <v>1.3458537021327798E-3</v>
      </c>
    </row>
    <row r="12" spans="1:16" x14ac:dyDescent="0.25">
      <c r="A12" t="s">
        <v>15</v>
      </c>
      <c r="B12" s="1">
        <v>74426.630736186693</v>
      </c>
      <c r="C12" s="1">
        <v>41044.591509196798</v>
      </c>
      <c r="D12" s="1">
        <v>0</v>
      </c>
      <c r="E12" s="1">
        <v>0</v>
      </c>
      <c r="F12" s="1">
        <v>66492.007995245207</v>
      </c>
      <c r="G12" s="1">
        <f t="shared" si="3"/>
        <v>181963.23024062871</v>
      </c>
      <c r="J12" t="s">
        <v>15</v>
      </c>
      <c r="K12" s="1"/>
      <c r="L12" s="2">
        <f t="shared" si="0"/>
        <v>1.1070057518757055E-3</v>
      </c>
      <c r="M12" s="1"/>
      <c r="N12" s="1"/>
      <c r="O12" s="2">
        <f t="shared" si="1"/>
        <v>1.5585573241727406E-3</v>
      </c>
      <c r="P12" s="2">
        <f t="shared" si="2"/>
        <v>1.3505369828594894E-3</v>
      </c>
    </row>
    <row r="13" spans="1:16" x14ac:dyDescent="0.25">
      <c r="A13" t="s">
        <v>16</v>
      </c>
      <c r="B13" s="1">
        <v>3611921.5323073799</v>
      </c>
      <c r="C13" s="1">
        <v>933348.28982348205</v>
      </c>
      <c r="D13" s="1">
        <v>4743.2405833575503</v>
      </c>
      <c r="E13" s="1">
        <v>3087.1057135588098</v>
      </c>
      <c r="F13" s="1">
        <v>2655936.1888001799</v>
      </c>
      <c r="G13" s="1">
        <f t="shared" si="3"/>
        <v>7209036.3572279569</v>
      </c>
      <c r="J13" t="s">
        <v>16</v>
      </c>
      <c r="K13" s="1"/>
      <c r="L13" s="2">
        <f t="shared" si="0"/>
        <v>2.5173156495087425E-2</v>
      </c>
      <c r="M13" s="1"/>
      <c r="N13" s="1"/>
      <c r="O13" s="2">
        <f t="shared" si="1"/>
        <v>6.2254531400013705E-2</v>
      </c>
      <c r="P13" s="2">
        <f t="shared" si="2"/>
        <v>5.3505701115219823E-2</v>
      </c>
    </row>
    <row r="14" spans="1:16" x14ac:dyDescent="0.25">
      <c r="A14" t="s">
        <v>17</v>
      </c>
      <c r="B14" s="1">
        <v>80457.989166575004</v>
      </c>
      <c r="C14" s="1">
        <v>72202.5548669696</v>
      </c>
      <c r="D14" s="1">
        <v>0</v>
      </c>
      <c r="E14" s="1">
        <v>0</v>
      </c>
      <c r="F14" s="1">
        <v>88718.216497078902</v>
      </c>
      <c r="G14" s="1">
        <f t="shared" si="3"/>
        <v>241378.76053062349</v>
      </c>
      <c r="J14" t="s">
        <v>17</v>
      </c>
      <c r="K14" s="1"/>
      <c r="L14" s="2">
        <f t="shared" si="0"/>
        <v>1.9473611649892305E-3</v>
      </c>
      <c r="M14" s="1"/>
      <c r="N14" s="1"/>
      <c r="O14" s="2">
        <f t="shared" si="1"/>
        <v>2.0795345226895983E-3</v>
      </c>
      <c r="P14" s="2">
        <f t="shared" si="2"/>
        <v>1.791520971255017E-3</v>
      </c>
    </row>
    <row r="15" spans="1:16" x14ac:dyDescent="0.25">
      <c r="A15" t="s">
        <v>18</v>
      </c>
      <c r="B15" s="1">
        <v>13716.424876619099</v>
      </c>
      <c r="C15" s="1">
        <v>7913.3817515283199</v>
      </c>
      <c r="D15" s="1">
        <v>0</v>
      </c>
      <c r="E15" s="1">
        <v>0</v>
      </c>
      <c r="F15" s="1">
        <v>3779.7943062210402</v>
      </c>
      <c r="G15" s="1">
        <f t="shared" si="3"/>
        <v>25409.60093436846</v>
      </c>
      <c r="J15" t="s">
        <v>18</v>
      </c>
      <c r="K15" s="1"/>
      <c r="L15" s="2">
        <f t="shared" si="0"/>
        <v>2.1343029114486909E-4</v>
      </c>
      <c r="M15" s="1"/>
      <c r="N15" s="1"/>
      <c r="O15" s="2">
        <f t="shared" si="1"/>
        <v>8.8597506338633774E-5</v>
      </c>
      <c r="P15" s="2">
        <f t="shared" si="2"/>
        <v>1.885908803453602E-4</v>
      </c>
    </row>
    <row r="16" spans="1:16" x14ac:dyDescent="0.25">
      <c r="A16" t="s">
        <v>22</v>
      </c>
      <c r="B16" s="1">
        <v>232646.282766438</v>
      </c>
      <c r="C16" s="1">
        <v>130297.755626181</v>
      </c>
      <c r="D16" s="1">
        <v>0</v>
      </c>
      <c r="E16" s="1">
        <v>6646.1065241235801</v>
      </c>
      <c r="F16" s="1">
        <v>178254.320754032</v>
      </c>
      <c r="G16" s="1">
        <f t="shared" si="3"/>
        <v>547844.46567077457</v>
      </c>
      <c r="J16" t="s">
        <v>22</v>
      </c>
      <c r="K16" s="1"/>
      <c r="L16" s="2">
        <f t="shared" si="0"/>
        <v>3.514235606471018E-3</v>
      </c>
      <c r="M16" s="1"/>
      <c r="N16" s="1"/>
      <c r="O16" s="2">
        <f t="shared" si="1"/>
        <v>4.1782401457405253E-3</v>
      </c>
      <c r="P16" s="2">
        <f t="shared" si="2"/>
        <v>4.0661193515022344E-3</v>
      </c>
    </row>
    <row r="17" spans="1:16" x14ac:dyDescent="0.25">
      <c r="A17" t="s">
        <v>23</v>
      </c>
      <c r="B17" s="1">
        <v>3259205.4248225</v>
      </c>
      <c r="C17" s="1">
        <v>1532787.3549854399</v>
      </c>
      <c r="D17" s="1">
        <v>5402.3896519598802</v>
      </c>
      <c r="E17" s="1">
        <v>9410.3471565047294</v>
      </c>
      <c r="F17" s="1">
        <v>2465207.0843223799</v>
      </c>
      <c r="G17" s="1">
        <f t="shared" si="3"/>
        <v>7272012.6009387849</v>
      </c>
      <c r="J17" t="s">
        <v>23</v>
      </c>
      <c r="K17" s="1"/>
      <c r="L17" s="2">
        <f t="shared" si="0"/>
        <v>4.1340511769767045E-2</v>
      </c>
      <c r="M17" s="1"/>
      <c r="N17" s="1"/>
      <c r="O17" s="2">
        <f t="shared" si="1"/>
        <v>5.7783885202382854E-2</v>
      </c>
      <c r="P17" s="2">
        <f t="shared" si="2"/>
        <v>5.3973112833843262E-2</v>
      </c>
    </row>
    <row r="18" spans="1:16" x14ac:dyDescent="0.25">
      <c r="A18" t="s">
        <v>24</v>
      </c>
      <c r="B18" s="1">
        <v>24982237.348756999</v>
      </c>
      <c r="C18" s="1">
        <v>21837794.922338799</v>
      </c>
      <c r="D18" s="1">
        <v>22077.0831630836</v>
      </c>
      <c r="E18" s="1">
        <v>66376.487989832895</v>
      </c>
      <c r="F18" s="1">
        <v>22403400.092162501</v>
      </c>
      <c r="G18" s="1">
        <f t="shared" si="3"/>
        <v>69311885.934411213</v>
      </c>
      <c r="J18" t="s">
        <v>24</v>
      </c>
      <c r="K18" s="1"/>
      <c r="L18" s="2">
        <f t="shared" si="0"/>
        <v>0.58898294996782619</v>
      </c>
      <c r="M18" s="1"/>
      <c r="N18" s="1"/>
      <c r="O18" s="2">
        <f t="shared" si="1"/>
        <v>0.52513052850665909</v>
      </c>
      <c r="P18" s="2">
        <f t="shared" si="2"/>
        <v>0.51443506021723706</v>
      </c>
    </row>
    <row r="19" spans="1:16" x14ac:dyDescent="0.25">
      <c r="A19" t="s">
        <v>25</v>
      </c>
      <c r="B19" s="1">
        <v>1184431.48336519</v>
      </c>
      <c r="C19" s="1">
        <v>320048.13297887897</v>
      </c>
      <c r="D19" s="1">
        <v>396.448625000714</v>
      </c>
      <c r="E19" s="1">
        <v>0</v>
      </c>
      <c r="F19" s="1">
        <v>92149.048434255907</v>
      </c>
      <c r="G19" s="1">
        <f t="shared" si="3"/>
        <v>1597025.1134033254</v>
      </c>
      <c r="J19" t="s">
        <v>25</v>
      </c>
      <c r="K19" s="1"/>
      <c r="L19" s="2">
        <f t="shared" si="0"/>
        <v>8.6319563932147625E-3</v>
      </c>
      <c r="M19" s="1"/>
      <c r="N19" s="1"/>
      <c r="O19" s="2">
        <f t="shared" si="1"/>
        <v>2.1599524316219818E-3</v>
      </c>
      <c r="P19" s="2">
        <f t="shared" si="2"/>
        <v>1.1853172068633577E-2</v>
      </c>
    </row>
    <row r="20" spans="1:16" x14ac:dyDescent="0.25">
      <c r="A20" t="s">
        <v>26</v>
      </c>
      <c r="B20" s="1">
        <v>197485.57644881299</v>
      </c>
      <c r="C20" s="1">
        <v>2613.1037989592501</v>
      </c>
      <c r="D20" s="1">
        <v>0</v>
      </c>
      <c r="E20" s="1">
        <v>0</v>
      </c>
      <c r="F20" s="1">
        <v>302542.99770379299</v>
      </c>
      <c r="G20" s="1">
        <f t="shared" si="3"/>
        <v>502641.67795156525</v>
      </c>
      <c r="J20" t="s">
        <v>26</v>
      </c>
      <c r="K20" s="1"/>
      <c r="L20" s="2">
        <f t="shared" si="0"/>
        <v>7.0477517970862961E-5</v>
      </c>
      <c r="M20" s="1"/>
      <c r="N20" s="1"/>
      <c r="O20" s="2">
        <f t="shared" si="1"/>
        <v>7.0915380534475958E-3</v>
      </c>
      <c r="P20" s="2">
        <f t="shared" si="2"/>
        <v>3.7306227983666981E-3</v>
      </c>
    </row>
    <row r="21" spans="1:16" x14ac:dyDescent="0.25">
      <c r="A21" t="s">
        <v>27</v>
      </c>
      <c r="B21" s="1">
        <v>142462.007839036</v>
      </c>
      <c r="C21" s="1">
        <v>149277.15720082499</v>
      </c>
      <c r="D21" s="1">
        <v>0</v>
      </c>
      <c r="E21" s="1">
        <v>1180.98143999896</v>
      </c>
      <c r="F21" s="1">
        <v>36001.486380873197</v>
      </c>
      <c r="G21" s="1">
        <f t="shared" si="3"/>
        <v>328921.63286073314</v>
      </c>
      <c r="J21" t="s">
        <v>27</v>
      </c>
      <c r="K21" s="1"/>
      <c r="L21" s="2">
        <f t="shared" si="0"/>
        <v>4.0261253814144957E-3</v>
      </c>
      <c r="M21" s="1"/>
      <c r="N21" s="1"/>
      <c r="O21" s="2">
        <f t="shared" si="1"/>
        <v>8.4386653331371044E-4</v>
      </c>
      <c r="P21" s="2">
        <f t="shared" si="2"/>
        <v>2.4412670024241286E-3</v>
      </c>
    </row>
    <row r="22" spans="1:16" x14ac:dyDescent="0.25">
      <c r="A22" t="s">
        <v>28</v>
      </c>
      <c r="B22" s="1">
        <v>278404.881839843</v>
      </c>
      <c r="C22" s="1">
        <v>172435.373910344</v>
      </c>
      <c r="D22" s="1">
        <v>0</v>
      </c>
      <c r="E22" s="1">
        <v>0</v>
      </c>
      <c r="F22" s="1">
        <v>173678.31131705799</v>
      </c>
      <c r="G22" s="1">
        <f t="shared" si="3"/>
        <v>624518.56706724502</v>
      </c>
      <c r="J22" t="s">
        <v>28</v>
      </c>
      <c r="K22" s="1"/>
      <c r="L22" s="2">
        <f t="shared" si="0"/>
        <v>4.6507211724306479E-3</v>
      </c>
      <c r="M22" s="1"/>
      <c r="N22" s="1"/>
      <c r="O22" s="2">
        <f t="shared" si="1"/>
        <v>4.0709795404661377E-3</v>
      </c>
      <c r="P22" s="2">
        <f t="shared" si="2"/>
        <v>4.6351970131073587E-3</v>
      </c>
    </row>
    <row r="23" spans="1:16" x14ac:dyDescent="0.25">
      <c r="A23" t="s">
        <v>29</v>
      </c>
      <c r="B23" s="1">
        <v>9508220.9359698091</v>
      </c>
      <c r="C23" s="1">
        <v>7630452.7207400696</v>
      </c>
      <c r="D23" s="1">
        <v>21072.477351287402</v>
      </c>
      <c r="E23" s="1">
        <v>41036.923759633799</v>
      </c>
      <c r="F23" s="1">
        <v>6959956.3685288401</v>
      </c>
      <c r="G23" s="1">
        <f t="shared" si="3"/>
        <v>24160739.426349644</v>
      </c>
      <c r="J23" t="s">
        <v>29</v>
      </c>
      <c r="K23" s="1"/>
      <c r="L23" s="2">
        <f t="shared" si="0"/>
        <v>0.2057994668891317</v>
      </c>
      <c r="M23" s="1"/>
      <c r="N23" s="1"/>
      <c r="O23" s="2">
        <f t="shared" si="1"/>
        <v>0.16313977124692985</v>
      </c>
      <c r="P23" s="2">
        <f t="shared" si="2"/>
        <v>0.17932178982185898</v>
      </c>
    </row>
    <row r="24" spans="1:16" x14ac:dyDescent="0.25">
      <c r="A24" t="s">
        <v>30</v>
      </c>
      <c r="B24" s="1">
        <v>1573665.15682844</v>
      </c>
      <c r="C24" s="1">
        <v>1504984.18176691</v>
      </c>
      <c r="D24" s="1">
        <v>0</v>
      </c>
      <c r="E24" s="1">
        <v>1500.66510604825</v>
      </c>
      <c r="F24" s="1">
        <v>1050646.47276993</v>
      </c>
      <c r="G24" s="1">
        <f t="shared" si="3"/>
        <v>4130796.4764713286</v>
      </c>
      <c r="J24" t="s">
        <v>30</v>
      </c>
      <c r="K24" s="1"/>
      <c r="L24" s="2">
        <f t="shared" si="0"/>
        <v>4.0590637753688388E-2</v>
      </c>
      <c r="M24" s="1"/>
      <c r="N24" s="1"/>
      <c r="O24" s="2">
        <f t="shared" si="1"/>
        <v>2.4626910881814942E-2</v>
      </c>
      <c r="P24" s="2">
        <f t="shared" si="2"/>
        <v>3.065890511375724E-2</v>
      </c>
    </row>
    <row r="25" spans="1:16" x14ac:dyDescent="0.25">
      <c r="A25" t="s">
        <v>19</v>
      </c>
      <c r="B25" s="1">
        <v>491306.945630342</v>
      </c>
      <c r="C25" s="1">
        <v>213728.33190380299</v>
      </c>
      <c r="D25" s="1">
        <v>0</v>
      </c>
      <c r="E25" s="1">
        <v>0</v>
      </c>
      <c r="F25" s="1">
        <v>474062.48544019501</v>
      </c>
      <c r="G25" s="1">
        <f>SUM(B25:F25)</f>
        <v>1179097.76297434</v>
      </c>
      <c r="J25" t="s">
        <v>19</v>
      </c>
      <c r="K25" s="1"/>
      <c r="L25" s="2">
        <f t="shared" si="0"/>
        <v>5.7644255687937709E-3</v>
      </c>
      <c r="M25" s="1"/>
      <c r="N25" s="1"/>
      <c r="O25" s="2">
        <f t="shared" si="1"/>
        <v>1.1111915267338355E-2</v>
      </c>
      <c r="P25" s="2">
        <f t="shared" si="2"/>
        <v>8.7513017503477158E-3</v>
      </c>
    </row>
    <row r="26" spans="1:16" x14ac:dyDescent="0.25">
      <c r="A26" t="s">
        <v>20</v>
      </c>
      <c r="B26" s="1">
        <v>696916.92145592801</v>
      </c>
      <c r="C26" s="1">
        <v>157498.88003514701</v>
      </c>
      <c r="D26" s="1">
        <v>352.94087568203003</v>
      </c>
      <c r="E26" s="1">
        <v>0</v>
      </c>
      <c r="F26" s="1">
        <v>359173.16714520199</v>
      </c>
      <c r="G26" s="1">
        <f>SUM(B26:F26)</f>
        <v>1213941.9095119589</v>
      </c>
      <c r="J26" t="s">
        <v>20</v>
      </c>
      <c r="K26" s="1"/>
      <c r="L26" s="2">
        <f t="shared" si="0"/>
        <v>4.2478718803626693E-3</v>
      </c>
      <c r="M26" s="1"/>
      <c r="N26" s="1"/>
      <c r="O26" s="2">
        <f t="shared" si="1"/>
        <v>8.4189361575680612E-3</v>
      </c>
      <c r="P26" s="2">
        <f t="shared" si="2"/>
        <v>9.0099161334458826E-3</v>
      </c>
    </row>
    <row r="27" spans="1:16" x14ac:dyDescent="0.25">
      <c r="A27" t="s">
        <v>21</v>
      </c>
      <c r="B27" s="1">
        <v>53475.685135449399</v>
      </c>
      <c r="C27" s="1">
        <v>16578.2572026454</v>
      </c>
      <c r="D27" s="1">
        <v>0</v>
      </c>
      <c r="E27" s="1">
        <v>0</v>
      </c>
      <c r="F27" s="1">
        <v>68793.2896318985</v>
      </c>
      <c r="G27" s="1">
        <f>SUM(B27:F27)</f>
        <v>138847.2319699933</v>
      </c>
      <c r="J27" t="s">
        <v>21</v>
      </c>
      <c r="K27" s="1"/>
      <c r="L27" s="2">
        <f t="shared" si="0"/>
        <v>4.4712897374776274E-4</v>
      </c>
      <c r="M27" s="1"/>
      <c r="N27" s="1"/>
      <c r="O27" s="2">
        <f t="shared" si="1"/>
        <v>1.6124988347080624E-3</v>
      </c>
      <c r="P27" s="2">
        <f t="shared" si="2"/>
        <v>1.0305286485361444E-3</v>
      </c>
    </row>
    <row r="29" spans="1:16" x14ac:dyDescent="0.25">
      <c r="A29" t="s">
        <v>33</v>
      </c>
      <c r="B29" s="1">
        <f>SUM(B5:B15)</f>
        <v>12202259.813908258</v>
      </c>
      <c r="C29" s="1">
        <f>SUM(C5:C15)</f>
        <v>3408629.6144837779</v>
      </c>
      <c r="D29" s="1">
        <f>SUM(D5:D15)</f>
        <v>8964.4161963937804</v>
      </c>
      <c r="E29" s="1">
        <f>SUM(E5:E15)</f>
        <v>7187.9331245609801</v>
      </c>
      <c r="F29" s="1">
        <f>SUM(F5:F15)</f>
        <v>8098670.9040650306</v>
      </c>
      <c r="G29" s="1">
        <f>SUM(G5:G15)</f>
        <v>23725712.681778017</v>
      </c>
    </row>
    <row r="30" spans="1:16" x14ac:dyDescent="0.25">
      <c r="A30" t="s">
        <v>34</v>
      </c>
      <c r="B30" s="1">
        <f>SUM(B16:B24)</f>
        <v>41358759.098637067</v>
      </c>
      <c r="C30" s="1">
        <f>SUM(C16:C24)</f>
        <v>33280690.703346405</v>
      </c>
      <c r="D30" s="1">
        <f>SUM(D16:D24)</f>
        <v>48948.398791331594</v>
      </c>
      <c r="E30" s="1">
        <f>SUM(E16:E24)</f>
        <v>126151.51197614221</v>
      </c>
      <c r="F30" s="1">
        <f>SUM(F16:F24)</f>
        <v>33661836.182373658</v>
      </c>
      <c r="G30" s="1">
        <f>SUM(G16:G24)</f>
        <v>108476385.89512461</v>
      </c>
    </row>
    <row r="31" spans="1:16" x14ac:dyDescent="0.25">
      <c r="A31" t="s">
        <v>35</v>
      </c>
      <c r="B31" s="1">
        <f>SUM(B25:B27)</f>
        <v>1241699.5522217192</v>
      </c>
      <c r="C31" s="1">
        <f>SUM(C25:C27)</f>
        <v>387805.46914159541</v>
      </c>
      <c r="D31" s="1">
        <f>SUM(D25:D27)</f>
        <v>352.94087568203003</v>
      </c>
      <c r="E31" s="1">
        <f>SUM(E25:E27)</f>
        <v>0</v>
      </c>
      <c r="F31" s="1">
        <f>SUM(F25:F27)</f>
        <v>902028.94221729552</v>
      </c>
      <c r="G31" s="1">
        <f>SUM(G25:G27)</f>
        <v>2531886.9044562918</v>
      </c>
    </row>
    <row r="32" spans="1:16" x14ac:dyDescent="0.25">
      <c r="B32" s="1">
        <f>SUM(B29:B31)</f>
        <v>54802718.464767039</v>
      </c>
      <c r="C32" s="1">
        <f>SUM(C29:C31)</f>
        <v>37077125.786971778</v>
      </c>
      <c r="D32" s="1">
        <f>SUM(D29:D31)</f>
        <v>58265.755863407401</v>
      </c>
      <c r="E32" s="1">
        <f>SUM(E29:E31)</f>
        <v>133339.44510070319</v>
      </c>
      <c r="F32" s="1">
        <f>SUM(F29:F31)</f>
        <v>42662536.028655984</v>
      </c>
      <c r="G32" s="1">
        <f>SUM(G5:G27)</f>
        <v>134733985.48135892</v>
      </c>
    </row>
    <row r="35" spans="1:7" x14ac:dyDescent="0.25">
      <c r="B35" t="s">
        <v>0</v>
      </c>
      <c r="C35" t="s">
        <v>0</v>
      </c>
      <c r="D35" t="s">
        <v>0</v>
      </c>
      <c r="E35" t="s">
        <v>0</v>
      </c>
      <c r="F35" t="s">
        <v>0</v>
      </c>
    </row>
    <row r="36" spans="1:7" x14ac:dyDescent="0.25">
      <c r="B36" t="s">
        <v>1</v>
      </c>
      <c r="C36" t="s">
        <v>1</v>
      </c>
      <c r="D36" t="s">
        <v>1</v>
      </c>
      <c r="E36" t="s">
        <v>1</v>
      </c>
      <c r="F36" t="s">
        <v>1</v>
      </c>
    </row>
    <row r="37" spans="1:7" x14ac:dyDescent="0.25">
      <c r="A37" t="s">
        <v>2</v>
      </c>
      <c r="B37" t="s">
        <v>36</v>
      </c>
      <c r="C37" t="s">
        <v>3</v>
      </c>
      <c r="D37" t="s">
        <v>4</v>
      </c>
      <c r="E37" t="s">
        <v>5</v>
      </c>
      <c r="F37" t="s">
        <v>6</v>
      </c>
      <c r="G37" t="s">
        <v>32</v>
      </c>
    </row>
    <row r="38" spans="1:7" x14ac:dyDescent="0.25">
      <c r="A38" t="s">
        <v>7</v>
      </c>
    </row>
    <row r="39" spans="1:7" x14ac:dyDescent="0.25">
      <c r="A39" t="s">
        <v>8</v>
      </c>
      <c r="B39" s="1"/>
      <c r="C39" s="1" t="str">
        <f>ROUND(C5,0)&amp;" ("&amp;ROUND(L5*100,1)&amp;")"</f>
        <v>1180016 (3.2)</v>
      </c>
      <c r="D39" s="1"/>
      <c r="E39" s="1"/>
      <c r="F39" s="1" t="str">
        <f>ROUND(F5,0)&amp;" ("&amp;ROUND(O5*100,1)&amp;")"</f>
        <v>3401705 (8)</v>
      </c>
      <c r="G39" s="1" t="str">
        <f>ROUND(G5,0)&amp;" ("&amp;ROUND(P5*100,1)&amp;")"</f>
        <v>10363991 (7.7)</v>
      </c>
    </row>
    <row r="40" spans="1:7" x14ac:dyDescent="0.25">
      <c r="A40" t="s">
        <v>9</v>
      </c>
      <c r="B40" s="1"/>
      <c r="C40" s="1" t="str">
        <f t="shared" ref="C40:C61" si="4">ROUND(C6,0)&amp;" ("&amp;ROUND(L6*100,1)&amp;")"</f>
        <v>1055148 (2.8)</v>
      </c>
      <c r="D40" s="1"/>
      <c r="E40" s="1"/>
      <c r="F40" s="1" t="str">
        <f t="shared" ref="F40:F61" si="5">ROUND(F6,0)&amp;" ("&amp;ROUND(O6*100,1)&amp;")"</f>
        <v>624283 (1.5)</v>
      </c>
      <c r="G40" s="1" t="str">
        <f t="shared" ref="G40:G61" si="6">ROUND(G6,0)&amp;" ("&amp;ROUND(P6*100,1)&amp;")"</f>
        <v>2877729 (2.1)</v>
      </c>
    </row>
    <row r="41" spans="1:7" x14ac:dyDescent="0.25">
      <c r="A41" t="s">
        <v>10</v>
      </c>
      <c r="B41" s="1"/>
      <c r="C41" s="1" t="str">
        <f t="shared" si="4"/>
        <v>36801 (0.1)</v>
      </c>
      <c r="D41" s="1"/>
      <c r="E41" s="1"/>
      <c r="F41" s="1" t="str">
        <f t="shared" si="5"/>
        <v>17436 (0)</v>
      </c>
      <c r="G41" s="1" t="str">
        <f t="shared" si="6"/>
        <v>81551 (0.1)</v>
      </c>
    </row>
    <row r="42" spans="1:7" x14ac:dyDescent="0.25">
      <c r="A42" t="s">
        <v>11</v>
      </c>
      <c r="B42" s="1"/>
      <c r="C42" s="1" t="str">
        <f t="shared" si="4"/>
        <v>71065 (0.2)</v>
      </c>
      <c r="D42" s="1"/>
      <c r="E42" s="1"/>
      <c r="F42" s="1" t="str">
        <f t="shared" si="5"/>
        <v>1128339 (2.6)</v>
      </c>
      <c r="G42" s="1" t="str">
        <f t="shared" si="6"/>
        <v>2418420 (1.8)</v>
      </c>
    </row>
    <row r="43" spans="1:7" x14ac:dyDescent="0.25">
      <c r="A43" t="s">
        <v>12</v>
      </c>
      <c r="B43" s="1"/>
      <c r="C43" s="1" t="str">
        <f t="shared" si="4"/>
        <v>4752 (0)</v>
      </c>
      <c r="D43" s="1"/>
      <c r="E43" s="1"/>
      <c r="F43" s="1" t="str">
        <f t="shared" si="5"/>
        <v>27688 (0.1)</v>
      </c>
      <c r="G43" s="1" t="str">
        <f t="shared" si="6"/>
        <v>67895 (0.1)</v>
      </c>
    </row>
    <row r="44" spans="1:7" x14ac:dyDescent="0.25">
      <c r="A44" t="s">
        <v>13</v>
      </c>
      <c r="B44" s="1"/>
      <c r="C44" s="1" t="str">
        <f t="shared" si="4"/>
        <v>6339 (0)</v>
      </c>
      <c r="D44" s="1"/>
      <c r="E44" s="1"/>
      <c r="F44" s="1" t="str">
        <f t="shared" si="5"/>
        <v>39442 (0.1)</v>
      </c>
      <c r="G44" s="1" t="str">
        <f t="shared" si="6"/>
        <v>77008 (0.1)</v>
      </c>
    </row>
    <row r="45" spans="1:7" x14ac:dyDescent="0.25">
      <c r="A45" t="s">
        <v>14</v>
      </c>
      <c r="B45" s="1"/>
      <c r="C45" s="1" t="str">
        <f t="shared" si="4"/>
        <v>0 (0)</v>
      </c>
      <c r="D45" s="1"/>
      <c r="E45" s="1"/>
      <c r="F45" s="1" t="str">
        <f t="shared" si="5"/>
        <v>44851 (0.1)</v>
      </c>
      <c r="G45" s="1" t="str">
        <f t="shared" si="6"/>
        <v>181332 (0.1)</v>
      </c>
    </row>
    <row r="46" spans="1:7" x14ac:dyDescent="0.25">
      <c r="A46" t="s">
        <v>15</v>
      </c>
      <c r="B46" s="1"/>
      <c r="C46" s="1" t="str">
        <f t="shared" si="4"/>
        <v>41045 (0.1)</v>
      </c>
      <c r="D46" s="1"/>
      <c r="E46" s="1"/>
      <c r="F46" s="1" t="str">
        <f t="shared" si="5"/>
        <v>66492 (0.2)</v>
      </c>
      <c r="G46" s="1" t="str">
        <f t="shared" si="6"/>
        <v>181963 (0.1)</v>
      </c>
    </row>
    <row r="47" spans="1:7" x14ac:dyDescent="0.25">
      <c r="A47" t="s">
        <v>16</v>
      </c>
      <c r="B47" s="1"/>
      <c r="C47" s="1" t="str">
        <f t="shared" si="4"/>
        <v>933348 (2.5)</v>
      </c>
      <c r="D47" s="1"/>
      <c r="E47" s="1"/>
      <c r="F47" s="1" t="str">
        <f t="shared" si="5"/>
        <v>2655936 (6.2)</v>
      </c>
      <c r="G47" s="1" t="str">
        <f t="shared" si="6"/>
        <v>7209036 (5.4)</v>
      </c>
    </row>
    <row r="48" spans="1:7" x14ac:dyDescent="0.25">
      <c r="A48" t="s">
        <v>17</v>
      </c>
      <c r="B48" s="1"/>
      <c r="C48" s="1" t="str">
        <f t="shared" si="4"/>
        <v>72203 (0.2)</v>
      </c>
      <c r="D48" s="1"/>
      <c r="E48" s="1"/>
      <c r="F48" s="1" t="str">
        <f t="shared" si="5"/>
        <v>88718 (0.2)</v>
      </c>
      <c r="G48" s="1" t="str">
        <f t="shared" si="6"/>
        <v>241379 (0.2)</v>
      </c>
    </row>
    <row r="49" spans="1:7" x14ac:dyDescent="0.25">
      <c r="A49" t="s">
        <v>18</v>
      </c>
      <c r="B49" s="1"/>
      <c r="C49" s="1" t="str">
        <f t="shared" si="4"/>
        <v>7913 (0)</v>
      </c>
      <c r="D49" s="1"/>
      <c r="E49" s="1"/>
      <c r="F49" s="1" t="str">
        <f t="shared" si="5"/>
        <v>3780 (0)</v>
      </c>
      <c r="G49" s="1" t="str">
        <f t="shared" si="6"/>
        <v>25410 (0)</v>
      </c>
    </row>
    <row r="50" spans="1:7" x14ac:dyDescent="0.25">
      <c r="A50" t="s">
        <v>22</v>
      </c>
      <c r="B50" s="1"/>
      <c r="C50" s="1" t="str">
        <f t="shared" si="4"/>
        <v>130298 (0.4)</v>
      </c>
      <c r="D50" s="1"/>
      <c r="E50" s="1"/>
      <c r="F50" s="1" t="str">
        <f t="shared" si="5"/>
        <v>178254 (0.4)</v>
      </c>
      <c r="G50" s="1" t="str">
        <f t="shared" si="6"/>
        <v>547844 (0.4)</v>
      </c>
    </row>
    <row r="51" spans="1:7" x14ac:dyDescent="0.25">
      <c r="A51" t="s">
        <v>23</v>
      </c>
      <c r="B51" s="1"/>
      <c r="C51" s="1" t="str">
        <f t="shared" si="4"/>
        <v>1532787 (4.1)</v>
      </c>
      <c r="D51" s="1"/>
      <c r="E51" s="1"/>
      <c r="F51" s="1" t="str">
        <f t="shared" si="5"/>
        <v>2465207 (5.8)</v>
      </c>
      <c r="G51" s="1" t="str">
        <f t="shared" si="6"/>
        <v>7272013 (5.4)</v>
      </c>
    </row>
    <row r="52" spans="1:7" x14ac:dyDescent="0.25">
      <c r="A52" t="s">
        <v>24</v>
      </c>
      <c r="B52" s="1"/>
      <c r="C52" s="1" t="str">
        <f t="shared" si="4"/>
        <v>21837795 (58.9)</v>
      </c>
      <c r="D52" s="1"/>
      <c r="E52" s="1"/>
      <c r="F52" s="1" t="str">
        <f t="shared" si="5"/>
        <v>22403400 (52.5)</v>
      </c>
      <c r="G52" s="1" t="str">
        <f t="shared" si="6"/>
        <v>69311886 (51.4)</v>
      </c>
    </row>
    <row r="53" spans="1:7" x14ac:dyDescent="0.25">
      <c r="A53" t="s">
        <v>25</v>
      </c>
      <c r="B53" s="1"/>
      <c r="C53" s="1" t="str">
        <f t="shared" si="4"/>
        <v>320048 (0.9)</v>
      </c>
      <c r="D53" s="1"/>
      <c r="E53" s="1"/>
      <c r="F53" s="1" t="str">
        <f t="shared" si="5"/>
        <v>92149 (0.2)</v>
      </c>
      <c r="G53" s="1" t="str">
        <f t="shared" si="6"/>
        <v>1597025 (1.2)</v>
      </c>
    </row>
    <row r="54" spans="1:7" x14ac:dyDescent="0.25">
      <c r="A54" t="s">
        <v>26</v>
      </c>
      <c r="B54" s="1"/>
      <c r="C54" s="1" t="str">
        <f t="shared" si="4"/>
        <v>2613 (0)</v>
      </c>
      <c r="D54" s="1"/>
      <c r="E54" s="1"/>
      <c r="F54" s="1" t="str">
        <f t="shared" si="5"/>
        <v>302543 (0.7)</v>
      </c>
      <c r="G54" s="1" t="str">
        <f t="shared" si="6"/>
        <v>502642 (0.4)</v>
      </c>
    </row>
    <row r="55" spans="1:7" x14ac:dyDescent="0.25">
      <c r="A55" t="s">
        <v>27</v>
      </c>
      <c r="B55" s="1"/>
      <c r="C55" s="1" t="str">
        <f t="shared" si="4"/>
        <v>149277 (0.4)</v>
      </c>
      <c r="D55" s="1"/>
      <c r="E55" s="1"/>
      <c r="F55" s="1" t="str">
        <f t="shared" si="5"/>
        <v>36001 (0.1)</v>
      </c>
      <c r="G55" s="1" t="str">
        <f t="shared" si="6"/>
        <v>328922 (0.2)</v>
      </c>
    </row>
    <row r="56" spans="1:7" x14ac:dyDescent="0.25">
      <c r="A56" t="s">
        <v>28</v>
      </c>
      <c r="B56" s="1"/>
      <c r="C56" s="1" t="str">
        <f t="shared" si="4"/>
        <v>172435 (0.5)</v>
      </c>
      <c r="D56" s="1"/>
      <c r="E56" s="1"/>
      <c r="F56" s="1" t="str">
        <f t="shared" si="5"/>
        <v>173678 (0.4)</v>
      </c>
      <c r="G56" s="1" t="str">
        <f t="shared" si="6"/>
        <v>624519 (0.5)</v>
      </c>
    </row>
    <row r="57" spans="1:7" x14ac:dyDescent="0.25">
      <c r="A57" t="s">
        <v>29</v>
      </c>
      <c r="B57" s="1"/>
      <c r="C57" s="1" t="str">
        <f t="shared" si="4"/>
        <v>7630453 (20.6)</v>
      </c>
      <c r="D57" s="1"/>
      <c r="E57" s="1"/>
      <c r="F57" s="1" t="str">
        <f t="shared" si="5"/>
        <v>6959956 (16.3)</v>
      </c>
      <c r="G57" s="1" t="str">
        <f t="shared" si="6"/>
        <v>24160739 (17.9)</v>
      </c>
    </row>
    <row r="58" spans="1:7" x14ac:dyDescent="0.25">
      <c r="A58" t="s">
        <v>30</v>
      </c>
      <c r="B58" s="1"/>
      <c r="C58" s="1" t="str">
        <f t="shared" si="4"/>
        <v>1504984 (4.1)</v>
      </c>
      <c r="D58" s="1"/>
      <c r="E58" s="1"/>
      <c r="F58" s="1" t="str">
        <f t="shared" si="5"/>
        <v>1050646 (2.5)</v>
      </c>
      <c r="G58" s="1" t="str">
        <f t="shared" si="6"/>
        <v>4130796 (3.1)</v>
      </c>
    </row>
    <row r="59" spans="1:7" x14ac:dyDescent="0.25">
      <c r="A59" t="s">
        <v>19</v>
      </c>
      <c r="B59" s="1"/>
      <c r="C59" s="1" t="str">
        <f t="shared" si="4"/>
        <v>213728 (0.6)</v>
      </c>
      <c r="D59" s="1"/>
      <c r="E59" s="1"/>
      <c r="F59" s="1" t="str">
        <f t="shared" si="5"/>
        <v>474062 (1.1)</v>
      </c>
      <c r="G59" s="1" t="str">
        <f t="shared" si="6"/>
        <v>1179098 (0.9)</v>
      </c>
    </row>
    <row r="60" spans="1:7" x14ac:dyDescent="0.25">
      <c r="A60" t="s">
        <v>20</v>
      </c>
      <c r="B60" s="1"/>
      <c r="C60" s="1" t="str">
        <f t="shared" si="4"/>
        <v>157499 (0.4)</v>
      </c>
      <c r="D60" s="1"/>
      <c r="E60" s="1"/>
      <c r="F60" s="1" t="str">
        <f t="shared" si="5"/>
        <v>359173 (0.8)</v>
      </c>
      <c r="G60" s="1" t="str">
        <f t="shared" si="6"/>
        <v>1213942 (0.9)</v>
      </c>
    </row>
    <row r="61" spans="1:7" x14ac:dyDescent="0.25">
      <c r="A61" t="s">
        <v>21</v>
      </c>
      <c r="B61" s="1"/>
      <c r="C61" s="1" t="str">
        <f t="shared" si="4"/>
        <v>16578 (0)</v>
      </c>
      <c r="D61" s="1"/>
      <c r="E61" s="1"/>
      <c r="F61" s="1" t="str">
        <f t="shared" si="5"/>
        <v>68793 (0.2)</v>
      </c>
      <c r="G61" s="1" t="str">
        <f t="shared" si="6"/>
        <v>138847 (0.1)</v>
      </c>
    </row>
  </sheetData>
  <conditionalFormatting sqref="B39:F6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{74712CEB-481D-45F0-9153-39BA84DC0B31}</x14:id>
        </ext>
      </extLst>
    </cfRule>
  </conditionalFormatting>
  <conditionalFormatting sqref="G39:G6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{76B66152-32B4-4C5D-8975-F1FEF0DFCB6C}</x14:id>
        </ext>
      </extLst>
    </cfRule>
  </conditionalFormatting>
  <conditionalFormatting sqref="L5:P2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{BDE17834-0E8F-4322-8C7A-F02F53729450}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12CEB-481D-45F0-9153-39BA84DC0B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B39:F61</xm:sqref>
        </x14:conditionalFormatting>
        <x14:conditionalFormatting xmlns:xm="http://schemas.microsoft.com/office/excel/2006/main">
          <x14:cfRule type="dataBar" id="{76B66152-32B4-4C5D-8975-F1FEF0DFCB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G39:G61</xm:sqref>
        </x14:conditionalFormatting>
        <x14:conditionalFormatting xmlns:xm="http://schemas.microsoft.com/office/excel/2006/main">
          <x14:cfRule type="dataBar" id="{BDE17834-0E8F-4322-8C7A-F02F537294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L5:P27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pivot_landuse_AbsDisp_LISA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Changho</dc:creator>
  <cp:lastModifiedBy>Lee, Changho</cp:lastModifiedBy>
  <dcterms:created xsi:type="dcterms:W3CDTF">2025-10-21T07:13:42Z</dcterms:created>
  <dcterms:modified xsi:type="dcterms:W3CDTF">2025-10-21T10:18:02Z</dcterms:modified>
</cp:coreProperties>
</file>