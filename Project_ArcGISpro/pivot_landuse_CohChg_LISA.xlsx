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\DinSAR\Results_251002\Data_Analysis\Revised_Data_Analysis\"/>
    </mc:Choice>
  </mc:AlternateContent>
  <xr:revisionPtr revIDLastSave="0" documentId="13_ncr:9_{84EC9BD3-53BB-4A42-9ABA-D4F844D024FB}" xr6:coauthVersionLast="47" xr6:coauthVersionMax="47" xr10:uidLastSave="{00000000-0000-0000-0000-000000000000}"/>
  <bookViews>
    <workbookView xWindow="-28920" yWindow="-120" windowWidth="29040" windowHeight="15720" xr2:uid="{4D09A9BF-39AF-46D3-80FC-896482793256}"/>
  </bookViews>
  <sheets>
    <sheet name="pivot_landuse_CohChg_LISA" sheetId="1" r:id="rId1"/>
  </sheets>
  <calcPr calcId="0"/>
</workbook>
</file>

<file path=xl/calcChain.xml><?xml version="1.0" encoding="utf-8"?>
<calcChain xmlns="http://schemas.openxmlformats.org/spreadsheetml/2006/main">
  <c r="F40" i="1" l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9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34" i="1"/>
  <c r="F32" i="1"/>
  <c r="E32" i="1"/>
  <c r="D32" i="1"/>
  <c r="C32" i="1"/>
  <c r="B32" i="1"/>
  <c r="Q6" i="1"/>
  <c r="R6" i="1"/>
  <c r="S6" i="1"/>
  <c r="T6" i="1"/>
  <c r="U6" i="1"/>
  <c r="Q7" i="1"/>
  <c r="R7" i="1"/>
  <c r="S7" i="1"/>
  <c r="T7" i="1"/>
  <c r="U7" i="1"/>
  <c r="Q8" i="1"/>
  <c r="R8" i="1"/>
  <c r="S8" i="1"/>
  <c r="T8" i="1"/>
  <c r="U8" i="1"/>
  <c r="Q9" i="1"/>
  <c r="R9" i="1"/>
  <c r="S9" i="1"/>
  <c r="T9" i="1"/>
  <c r="U9" i="1"/>
  <c r="Q10" i="1"/>
  <c r="R10" i="1"/>
  <c r="S10" i="1"/>
  <c r="T10" i="1"/>
  <c r="U10" i="1"/>
  <c r="Q11" i="1"/>
  <c r="R11" i="1"/>
  <c r="S11" i="1"/>
  <c r="T11" i="1"/>
  <c r="U11" i="1"/>
  <c r="Q12" i="1"/>
  <c r="R12" i="1"/>
  <c r="S12" i="1"/>
  <c r="T12" i="1"/>
  <c r="U12" i="1"/>
  <c r="Q13" i="1"/>
  <c r="R13" i="1"/>
  <c r="S13" i="1"/>
  <c r="T13" i="1"/>
  <c r="U13" i="1"/>
  <c r="Q14" i="1"/>
  <c r="R14" i="1"/>
  <c r="S14" i="1"/>
  <c r="T14" i="1"/>
  <c r="U14" i="1"/>
  <c r="Q15" i="1"/>
  <c r="R15" i="1"/>
  <c r="S15" i="1"/>
  <c r="T15" i="1"/>
  <c r="U15" i="1"/>
  <c r="Q16" i="1"/>
  <c r="R16" i="1"/>
  <c r="S16" i="1"/>
  <c r="T16" i="1"/>
  <c r="U16" i="1"/>
  <c r="Q17" i="1"/>
  <c r="R17" i="1"/>
  <c r="S17" i="1"/>
  <c r="T17" i="1"/>
  <c r="U17" i="1"/>
  <c r="Q18" i="1"/>
  <c r="R18" i="1"/>
  <c r="S18" i="1"/>
  <c r="T18" i="1"/>
  <c r="U18" i="1"/>
  <c r="Q19" i="1"/>
  <c r="R19" i="1"/>
  <c r="S19" i="1"/>
  <c r="T19" i="1"/>
  <c r="U19" i="1"/>
  <c r="Q20" i="1"/>
  <c r="R20" i="1"/>
  <c r="S20" i="1"/>
  <c r="T20" i="1"/>
  <c r="U20" i="1"/>
  <c r="Q21" i="1"/>
  <c r="R21" i="1"/>
  <c r="S21" i="1"/>
  <c r="T21" i="1"/>
  <c r="U21" i="1"/>
  <c r="Q22" i="1"/>
  <c r="R22" i="1"/>
  <c r="S22" i="1"/>
  <c r="T22" i="1"/>
  <c r="U22" i="1"/>
  <c r="Q23" i="1"/>
  <c r="R23" i="1"/>
  <c r="S23" i="1"/>
  <c r="T23" i="1"/>
  <c r="U23" i="1"/>
  <c r="Q24" i="1"/>
  <c r="R24" i="1"/>
  <c r="S24" i="1"/>
  <c r="T24" i="1"/>
  <c r="U24" i="1"/>
  <c r="Q25" i="1"/>
  <c r="R25" i="1"/>
  <c r="S25" i="1"/>
  <c r="T25" i="1"/>
  <c r="U25" i="1"/>
  <c r="Q26" i="1"/>
  <c r="R26" i="1"/>
  <c r="S26" i="1"/>
  <c r="T26" i="1"/>
  <c r="U26" i="1"/>
  <c r="Q27" i="1"/>
  <c r="R27" i="1"/>
  <c r="S27" i="1"/>
  <c r="T27" i="1"/>
  <c r="U27" i="1"/>
  <c r="U5" i="1"/>
  <c r="T5" i="1"/>
  <c r="S5" i="1"/>
  <c r="R5" i="1"/>
  <c r="Q5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J27" i="1"/>
  <c r="K27" i="1"/>
  <c r="K25" i="1"/>
  <c r="J25" i="1"/>
  <c r="J17" i="1"/>
  <c r="K17" i="1"/>
  <c r="L17" i="1"/>
  <c r="M17" i="1"/>
  <c r="N17" i="1"/>
  <c r="J18" i="1"/>
  <c r="K18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N23" i="1"/>
  <c r="L24" i="1"/>
  <c r="M24" i="1"/>
  <c r="N24" i="1"/>
  <c r="K16" i="1"/>
  <c r="L16" i="1"/>
  <c r="M16" i="1"/>
  <c r="N16" i="1"/>
  <c r="J16" i="1"/>
  <c r="J6" i="1"/>
  <c r="K6" i="1"/>
  <c r="L6" i="1"/>
  <c r="M6" i="1"/>
  <c r="N6" i="1"/>
  <c r="J7" i="1"/>
  <c r="K7" i="1"/>
  <c r="L7" i="1"/>
  <c r="M7" i="1"/>
  <c r="N7" i="1"/>
  <c r="N9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M14" i="1"/>
  <c r="N14" i="1"/>
  <c r="K15" i="1"/>
  <c r="L15" i="1"/>
  <c r="M15" i="1"/>
  <c r="N15" i="1"/>
  <c r="K5" i="1"/>
  <c r="L5" i="1"/>
  <c r="M5" i="1"/>
  <c r="N5" i="1"/>
  <c r="J5" i="1"/>
  <c r="F31" i="1"/>
  <c r="N27" i="1" s="1"/>
  <c r="E31" i="1"/>
  <c r="M26" i="1" s="1"/>
  <c r="D31" i="1"/>
  <c r="L26" i="1" s="1"/>
  <c r="C31" i="1"/>
  <c r="K26" i="1" s="1"/>
  <c r="B31" i="1"/>
  <c r="J26" i="1" s="1"/>
  <c r="F30" i="1"/>
  <c r="N18" i="1" s="1"/>
  <c r="E30" i="1"/>
  <c r="M23" i="1" s="1"/>
  <c r="D30" i="1"/>
  <c r="L18" i="1" s="1"/>
  <c r="C30" i="1"/>
  <c r="K23" i="1" s="1"/>
  <c r="B30" i="1"/>
  <c r="J24" i="1" s="1"/>
  <c r="F29" i="1"/>
  <c r="N13" i="1" s="1"/>
  <c r="E29" i="1"/>
  <c r="M13" i="1" s="1"/>
  <c r="D29" i="1"/>
  <c r="L8" i="1" s="1"/>
  <c r="C29" i="1"/>
  <c r="K13" i="1" s="1"/>
  <c r="B29" i="1"/>
  <c r="J8" i="1" s="1"/>
  <c r="N25" i="1" l="1"/>
  <c r="M25" i="1"/>
  <c r="L25" i="1"/>
  <c r="J15" i="1"/>
  <c r="M27" i="1"/>
  <c r="L27" i="1"/>
  <c r="M9" i="1"/>
  <c r="L9" i="1"/>
  <c r="N8" i="1"/>
  <c r="K19" i="1"/>
  <c r="L13" i="1"/>
  <c r="M8" i="1"/>
  <c r="J13" i="1"/>
  <c r="K8" i="1"/>
  <c r="L23" i="1"/>
  <c r="M18" i="1"/>
  <c r="J10" i="1"/>
  <c r="L14" i="1"/>
  <c r="K14" i="1"/>
  <c r="J14" i="1"/>
  <c r="N26" i="1"/>
  <c r="J9" i="1"/>
  <c r="K24" i="1"/>
  <c r="J19" i="1"/>
  <c r="N12" i="1"/>
  <c r="K9" i="1"/>
</calcChain>
</file>

<file path=xl/sharedStrings.xml><?xml version="1.0" encoding="utf-8"?>
<sst xmlns="http://schemas.openxmlformats.org/spreadsheetml/2006/main" count="203" uniqueCount="35">
  <si>
    <t>sum</t>
  </si>
  <si>
    <t>Shape_Area</t>
  </si>
  <si>
    <t>COType</t>
  </si>
  <si>
    <t>HH</t>
  </si>
  <si>
    <t>HL</t>
  </si>
  <si>
    <t>LH</t>
  </si>
  <si>
    <t>LL</t>
  </si>
  <si>
    <t>RowLabel</t>
  </si>
  <si>
    <t>Artificial use | Building site</t>
  </si>
  <si>
    <t>Artificial use | Drainage</t>
  </si>
  <si>
    <t>Artificial use | Embankment</t>
  </si>
  <si>
    <t>Artificial use | Factory site</t>
  </si>
  <si>
    <t>Artificial use | Gas station</t>
  </si>
  <si>
    <t>Artificial use | Parking lot</t>
  </si>
  <si>
    <t>Artificial use | Railroad site</t>
  </si>
  <si>
    <t>Artificial use | Religious site</t>
  </si>
  <si>
    <t>Artificial use | Road</t>
  </si>
  <si>
    <t>Artificial use | Warehouse</t>
  </si>
  <si>
    <t>Artificial use | Water supply site</t>
  </si>
  <si>
    <t>Mixed use | Miscellaneous land</t>
  </si>
  <si>
    <t>Mixed use | School site</t>
  </si>
  <si>
    <t>Mixed use | Sports facility</t>
  </si>
  <si>
    <t>Natural use | Cemetery</t>
  </si>
  <si>
    <t>Natural use | Farmland</t>
  </si>
  <si>
    <t>Natural use | Forest</t>
  </si>
  <si>
    <t>Natural use | Orchard</t>
  </si>
  <si>
    <t>Natural use | Park area</t>
  </si>
  <si>
    <t>Natural use | Ranch</t>
  </si>
  <si>
    <t>Natural use | Reservoir</t>
  </si>
  <si>
    <t>Natural use | Rice paddy</t>
  </si>
  <si>
    <t>Natural use | River</t>
  </si>
  <si>
    <t>Insignificance</t>
  </si>
  <si>
    <t xml:space="preserve">Natural use </t>
  </si>
  <si>
    <t xml:space="preserve">Artificial use </t>
  </si>
  <si>
    <t>Mixed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</si>
</sst>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AD49-FE62-43C1-9319-373AC5D8D8D6}">
  <dimension ref="A1:U61"/>
  <sheetViews>
    <sheetView tabSelected="1" topLeftCell="A23" workbookViewId="0">
      <selection activeCell="I51" sqref="I51"/>
    </sheetView>
  </sheetViews>
  <sheetFormatPr defaultRowHeight="15" x14ac:dyDescent="0.25"/>
  <cols>
    <col min="1" max="1" width="29.42578125" bestFit="1" customWidth="1"/>
    <col min="2" max="2" width="13.5703125" bestFit="1" customWidth="1"/>
    <col min="3" max="6" width="12" bestFit="1" customWidth="1"/>
    <col min="7" max="7" width="13.42578125" customWidth="1"/>
    <col min="9" max="9" width="29.42578125" bestFit="1" customWidth="1"/>
    <col min="10" max="10" width="13.5703125" bestFit="1" customWidth="1"/>
    <col min="11" max="14" width="11.28515625" bestFit="1" customWidth="1"/>
    <col min="16" max="16" width="29.42578125" bestFit="1" customWidth="1"/>
  </cols>
  <sheetData>
    <row r="1" spans="1:21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B2" t="s">
        <v>1</v>
      </c>
      <c r="C2" t="s">
        <v>1</v>
      </c>
      <c r="D2" t="s">
        <v>1</v>
      </c>
      <c r="E2" t="s">
        <v>1</v>
      </c>
      <c r="F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</row>
    <row r="3" spans="1:21" x14ac:dyDescent="0.25">
      <c r="A3" t="s">
        <v>2</v>
      </c>
      <c r="B3" t="s">
        <v>31</v>
      </c>
      <c r="C3" t="s">
        <v>3</v>
      </c>
      <c r="D3" t="s">
        <v>4</v>
      </c>
      <c r="E3" t="s">
        <v>5</v>
      </c>
      <c r="F3" t="s">
        <v>6</v>
      </c>
      <c r="I3" t="s">
        <v>2</v>
      </c>
      <c r="J3" t="s">
        <v>31</v>
      </c>
      <c r="K3" t="s">
        <v>3</v>
      </c>
      <c r="L3" t="s">
        <v>4</v>
      </c>
      <c r="M3" t="s">
        <v>5</v>
      </c>
      <c r="N3" t="s">
        <v>6</v>
      </c>
      <c r="P3" t="s">
        <v>2</v>
      </c>
      <c r="Q3" t="s">
        <v>31</v>
      </c>
      <c r="R3" t="s">
        <v>3</v>
      </c>
      <c r="S3" t="s">
        <v>4</v>
      </c>
      <c r="T3" t="s">
        <v>5</v>
      </c>
      <c r="U3" t="s">
        <v>6</v>
      </c>
    </row>
    <row r="4" spans="1:21" x14ac:dyDescent="0.25">
      <c r="A4" t="s">
        <v>7</v>
      </c>
      <c r="I4" t="s">
        <v>7</v>
      </c>
      <c r="P4" t="s">
        <v>7</v>
      </c>
    </row>
    <row r="5" spans="1:21" x14ac:dyDescent="0.25">
      <c r="A5" t="s">
        <v>8</v>
      </c>
      <c r="B5" s="1">
        <v>6944969.01661056</v>
      </c>
      <c r="C5" s="1">
        <v>312465.64869546797</v>
      </c>
      <c r="D5" s="1">
        <v>237536.48544660801</v>
      </c>
      <c r="E5" s="1">
        <v>56002.386320358099</v>
      </c>
      <c r="F5" s="1">
        <v>2813017.3517147498</v>
      </c>
      <c r="G5" s="1">
        <f>SUM(B5:F5)</f>
        <v>10363990.888787743</v>
      </c>
      <c r="I5" t="s">
        <v>8</v>
      </c>
      <c r="J5" s="2">
        <f>B5/B$29</f>
        <v>0.40738556283784333</v>
      </c>
      <c r="K5" s="2">
        <f t="shared" ref="K5:N5" si="0">C5/C$29</f>
        <v>0.21476761384150425</v>
      </c>
      <c r="L5" s="2">
        <f t="shared" si="0"/>
        <v>0.56165706161667273</v>
      </c>
      <c r="M5" s="2">
        <f t="shared" si="0"/>
        <v>0.27070709925215131</v>
      </c>
      <c r="N5" s="2">
        <f t="shared" si="0"/>
        <v>0.61240951003087041</v>
      </c>
      <c r="P5" t="s">
        <v>8</v>
      </c>
      <c r="Q5" s="2">
        <f>B5/$G5</f>
        <v>0.67010566596734056</v>
      </c>
      <c r="R5" s="2">
        <f t="shared" ref="R5:U5" si="1">C5/$G5</f>
        <v>3.0149162812706458E-2</v>
      </c>
      <c r="S5" s="2">
        <f t="shared" si="1"/>
        <v>2.2919403152272765E-2</v>
      </c>
      <c r="T5" s="2">
        <f t="shared" si="1"/>
        <v>5.4035541830651486E-3</v>
      </c>
      <c r="U5" s="2">
        <f t="shared" si="1"/>
        <v>0.27142221388461518</v>
      </c>
    </row>
    <row r="6" spans="1:21" x14ac:dyDescent="0.25">
      <c r="A6" t="s">
        <v>9</v>
      </c>
      <c r="B6" s="1">
        <v>2102045.3413306298</v>
      </c>
      <c r="C6" s="1">
        <v>579061.632264446</v>
      </c>
      <c r="D6" s="1">
        <v>35205.649400794398</v>
      </c>
      <c r="E6" s="1">
        <v>47448.6093674781</v>
      </c>
      <c r="F6" s="1">
        <v>113967.665712028</v>
      </c>
      <c r="G6" s="1">
        <f t="shared" ref="G6:G27" si="2">SUM(B6:F6)</f>
        <v>2877728.8980753762</v>
      </c>
      <c r="I6" t="s">
        <v>9</v>
      </c>
      <c r="J6" s="2">
        <f>B6/B$29</f>
        <v>0.12330406693543132</v>
      </c>
      <c r="K6" s="2">
        <f t="shared" ref="K6:K15" si="3">C6/C$29</f>
        <v>0.39800754274210703</v>
      </c>
      <c r="L6" s="2">
        <f t="shared" ref="L6:L15" si="4">D6/D$29</f>
        <v>8.3244060623274316E-2</v>
      </c>
      <c r="M6" s="2">
        <f t="shared" ref="M6:M15" si="5">E6/E$29</f>
        <v>0.22935943000609471</v>
      </c>
      <c r="N6" s="2">
        <f t="shared" ref="N6:N15" si="6">F6/F$29</f>
        <v>2.4811394169154257E-2</v>
      </c>
      <c r="P6" t="s">
        <v>9</v>
      </c>
      <c r="Q6" s="2">
        <f t="shared" ref="Q6:Q27" si="7">B6/$G6</f>
        <v>0.73045287300568051</v>
      </c>
      <c r="R6" s="2">
        <f t="shared" ref="R6:R27" si="8">C6/$G6</f>
        <v>0.20122174561047851</v>
      </c>
      <c r="S6" s="2">
        <f t="shared" ref="S6:S27" si="9">D6/$G6</f>
        <v>1.2233831138277106E-2</v>
      </c>
      <c r="T6" s="2">
        <f t="shared" ref="T6:T27" si="10">E6/$G6</f>
        <v>1.648821381305644E-2</v>
      </c>
      <c r="U6" s="2">
        <f t="shared" ref="U6:U27" si="11">F6/$G6</f>
        <v>3.9603336432507429E-2</v>
      </c>
    </row>
    <row r="7" spans="1:21" x14ac:dyDescent="0.25">
      <c r="A7" t="s">
        <v>10</v>
      </c>
      <c r="B7" s="1">
        <v>67180.245487604494</v>
      </c>
      <c r="C7" s="1">
        <v>7987.7304228274797</v>
      </c>
      <c r="D7" s="1">
        <v>145.296156288802</v>
      </c>
      <c r="E7" s="1">
        <v>1786.85458960237</v>
      </c>
      <c r="F7" s="1">
        <v>4450.7525615387103</v>
      </c>
      <c r="G7" s="1">
        <f t="shared" si="2"/>
        <v>81550.879217861861</v>
      </c>
      <c r="I7" t="s">
        <v>10</v>
      </c>
      <c r="J7" s="2">
        <f>B7/B$29</f>
        <v>3.9407320686520673E-3</v>
      </c>
      <c r="K7" s="2">
        <f t="shared" si="3"/>
        <v>5.4902220774732139E-3</v>
      </c>
      <c r="L7" s="2">
        <f t="shared" si="4"/>
        <v>3.4355401045835715E-4</v>
      </c>
      <c r="M7" s="2">
        <f t="shared" si="5"/>
        <v>8.637385913692933E-3</v>
      </c>
      <c r="N7" s="2">
        <f t="shared" si="6"/>
        <v>9.6895356646806673E-4</v>
      </c>
      <c r="P7" t="s">
        <v>10</v>
      </c>
      <c r="Q7" s="2">
        <f t="shared" si="7"/>
        <v>0.82378321523834896</v>
      </c>
      <c r="R7" s="2">
        <f t="shared" si="8"/>
        <v>9.7947814903238339E-2</v>
      </c>
      <c r="S7" s="2">
        <f t="shared" si="9"/>
        <v>1.7816626587267765E-3</v>
      </c>
      <c r="T7" s="2">
        <f t="shared" si="10"/>
        <v>2.1910917536876785E-2</v>
      </c>
      <c r="U7" s="2">
        <f t="shared" si="11"/>
        <v>5.4576389662809109E-2</v>
      </c>
    </row>
    <row r="8" spans="1:21" x14ac:dyDescent="0.25">
      <c r="A8" t="s">
        <v>11</v>
      </c>
      <c r="B8" s="1">
        <v>2175659.34531538</v>
      </c>
      <c r="C8" s="1">
        <v>1359.76150525858</v>
      </c>
      <c r="D8" s="1">
        <v>10924.5129090137</v>
      </c>
      <c r="E8" s="1">
        <v>3434.96731556946</v>
      </c>
      <c r="F8" s="1">
        <v>227040.93620551701</v>
      </c>
      <c r="G8" s="1">
        <f t="shared" si="2"/>
        <v>2418419.5232507391</v>
      </c>
      <c r="I8" t="s">
        <v>11</v>
      </c>
      <c r="J8" s="2">
        <f>B8/B$29</f>
        <v>0.12762219742303293</v>
      </c>
      <c r="K8" s="2">
        <f t="shared" si="3"/>
        <v>9.3460748436553797E-4</v>
      </c>
      <c r="L8" s="2">
        <f t="shared" si="4"/>
        <v>2.5831104676545438E-2</v>
      </c>
      <c r="M8" s="2">
        <f t="shared" si="5"/>
        <v>1.6604114558699246E-2</v>
      </c>
      <c r="N8" s="2">
        <f t="shared" si="6"/>
        <v>4.9428073528879582E-2</v>
      </c>
      <c r="P8" t="s">
        <v>11</v>
      </c>
      <c r="Q8" s="2">
        <f t="shared" si="7"/>
        <v>0.89962031996456471</v>
      </c>
      <c r="R8" s="2">
        <f t="shared" si="8"/>
        <v>5.6225212052160621E-4</v>
      </c>
      <c r="S8" s="2">
        <f t="shared" si="9"/>
        <v>4.5172116764627436E-3</v>
      </c>
      <c r="T8" s="2">
        <f t="shared" si="10"/>
        <v>1.4203355879927398E-3</v>
      </c>
      <c r="U8" s="2">
        <f t="shared" si="11"/>
        <v>9.3879880650458034E-2</v>
      </c>
    </row>
    <row r="9" spans="1:21" x14ac:dyDescent="0.25">
      <c r="A9" t="s">
        <v>12</v>
      </c>
      <c r="B9" s="1">
        <v>51679.008906081399</v>
      </c>
      <c r="C9" s="1">
        <v>0</v>
      </c>
      <c r="D9" s="1">
        <v>3933.3045628670602</v>
      </c>
      <c r="E9" s="1">
        <v>992.29531263185504</v>
      </c>
      <c r="F9" s="1">
        <v>11290.072075146199</v>
      </c>
      <c r="G9" s="1">
        <f t="shared" si="2"/>
        <v>67894.680856726511</v>
      </c>
      <c r="I9" t="s">
        <v>12</v>
      </c>
      <c r="J9" s="2">
        <f>B9/B$29</f>
        <v>3.0314436363577594E-3</v>
      </c>
      <c r="K9" s="2">
        <f t="shared" si="3"/>
        <v>0</v>
      </c>
      <c r="L9" s="2">
        <f t="shared" si="4"/>
        <v>9.3003324481700633E-3</v>
      </c>
      <c r="M9" s="2">
        <f t="shared" si="5"/>
        <v>4.7966060615246726E-3</v>
      </c>
      <c r="N9" s="2">
        <f t="shared" si="6"/>
        <v>2.4579114321988779E-3</v>
      </c>
      <c r="P9" t="s">
        <v>12</v>
      </c>
      <c r="Q9" s="2">
        <f t="shared" si="7"/>
        <v>0.76116432471545259</v>
      </c>
      <c r="R9" s="2">
        <f t="shared" si="8"/>
        <v>0</v>
      </c>
      <c r="S9" s="2">
        <f t="shared" si="9"/>
        <v>5.7932440556974454E-2</v>
      </c>
      <c r="T9" s="2">
        <f t="shared" si="10"/>
        <v>1.461521433064584E-2</v>
      </c>
      <c r="U9" s="2">
        <f t="shared" si="11"/>
        <v>0.16628802039692719</v>
      </c>
    </row>
    <row r="10" spans="1:21" x14ac:dyDescent="0.25">
      <c r="A10" t="s">
        <v>13</v>
      </c>
      <c r="B10" s="1">
        <v>54919.289792010197</v>
      </c>
      <c r="C10" s="1">
        <v>1447.1478414830999</v>
      </c>
      <c r="D10" s="1">
        <v>4074.6622816634599</v>
      </c>
      <c r="E10" s="1">
        <v>5327.7125901460104</v>
      </c>
      <c r="F10" s="1">
        <v>11238.816987517201</v>
      </c>
      <c r="G10" s="1">
        <f t="shared" si="2"/>
        <v>77007.629492819979</v>
      </c>
      <c r="I10" t="s">
        <v>13</v>
      </c>
      <c r="J10" s="2">
        <f>B10/B$29</f>
        <v>3.2215155645851728E-3</v>
      </c>
      <c r="K10" s="2">
        <f t="shared" si="3"/>
        <v>9.9467090250972821E-4</v>
      </c>
      <c r="L10" s="2">
        <f t="shared" si="4"/>
        <v>9.6345739893242428E-3</v>
      </c>
      <c r="M10" s="2">
        <f t="shared" si="5"/>
        <v>2.5753360092144906E-2</v>
      </c>
      <c r="N10" s="2">
        <f t="shared" si="6"/>
        <v>2.4467529147861326E-3</v>
      </c>
      <c r="P10" t="s">
        <v>13</v>
      </c>
      <c r="Q10" s="2">
        <f t="shared" si="7"/>
        <v>0.71316686611072411</v>
      </c>
      <c r="R10" s="2">
        <f t="shared" si="8"/>
        <v>1.8792265792547592E-2</v>
      </c>
      <c r="S10" s="2">
        <f t="shared" si="9"/>
        <v>5.2912449175485557E-2</v>
      </c>
      <c r="T10" s="2">
        <f t="shared" si="10"/>
        <v>6.9184217527988631E-2</v>
      </c>
      <c r="U10" s="2">
        <f t="shared" si="11"/>
        <v>0.14594420139325395</v>
      </c>
    </row>
    <row r="11" spans="1:21" x14ac:dyDescent="0.25">
      <c r="A11" t="s">
        <v>14</v>
      </c>
      <c r="B11" s="1">
        <v>160432.51697514701</v>
      </c>
      <c r="C11" s="1">
        <v>8360.7154943217502</v>
      </c>
      <c r="D11" s="1">
        <v>1812.1763253475899</v>
      </c>
      <c r="E11" s="1">
        <v>0</v>
      </c>
      <c r="F11" s="1">
        <v>10726.824368375101</v>
      </c>
      <c r="G11" s="1">
        <f t="shared" si="2"/>
        <v>181332.23316319144</v>
      </c>
      <c r="I11" t="s">
        <v>14</v>
      </c>
      <c r="J11" s="2">
        <f>B11/B$29</f>
        <v>9.4108254578376144E-3</v>
      </c>
      <c r="K11" s="2">
        <f t="shared" si="3"/>
        <v>5.7465866223048237E-3</v>
      </c>
      <c r="L11" s="2">
        <f t="shared" si="4"/>
        <v>4.2849064981000844E-3</v>
      </c>
      <c r="M11" s="2">
        <f t="shared" si="5"/>
        <v>0</v>
      </c>
      <c r="N11" s="2">
        <f t="shared" si="6"/>
        <v>2.335289276342131E-3</v>
      </c>
      <c r="P11" t="s">
        <v>14</v>
      </c>
      <c r="Q11" s="2">
        <f t="shared" si="7"/>
        <v>0.88474351292395126</v>
      </c>
      <c r="R11" s="2">
        <f t="shared" si="8"/>
        <v>4.6107166654686567E-2</v>
      </c>
      <c r="S11" s="2">
        <f t="shared" si="9"/>
        <v>9.9936800740589062E-3</v>
      </c>
      <c r="T11" s="2">
        <f t="shared" si="10"/>
        <v>0</v>
      </c>
      <c r="U11" s="2">
        <f t="shared" si="11"/>
        <v>5.915564034730332E-2</v>
      </c>
    </row>
    <row r="12" spans="1:21" x14ac:dyDescent="0.25">
      <c r="A12" t="s">
        <v>15</v>
      </c>
      <c r="B12" s="1">
        <v>158997.402811787</v>
      </c>
      <c r="C12" s="1">
        <v>4291.6600578185598</v>
      </c>
      <c r="D12" s="1">
        <v>148.585177762981</v>
      </c>
      <c r="E12" s="1">
        <v>0</v>
      </c>
      <c r="F12" s="1">
        <v>18525.582193260001</v>
      </c>
      <c r="G12" s="1">
        <f t="shared" si="2"/>
        <v>181963.23024062853</v>
      </c>
      <c r="I12" t="s">
        <v>15</v>
      </c>
      <c r="J12" s="2">
        <f>B12/B$29</f>
        <v>9.3266429669181215E-3</v>
      </c>
      <c r="K12" s="2">
        <f t="shared" si="3"/>
        <v>2.9497949418910087E-3</v>
      </c>
      <c r="L12" s="2">
        <f t="shared" si="4"/>
        <v>3.513309300052987E-4</v>
      </c>
      <c r="M12" s="2">
        <f t="shared" si="5"/>
        <v>0</v>
      </c>
      <c r="N12" s="2">
        <f t="shared" si="6"/>
        <v>4.0331221942499496E-3</v>
      </c>
      <c r="P12" t="s">
        <v>15</v>
      </c>
      <c r="Q12" s="2">
        <f t="shared" si="7"/>
        <v>0.87378863631695547</v>
      </c>
      <c r="R12" s="2">
        <f t="shared" si="8"/>
        <v>2.3585314748167861E-2</v>
      </c>
      <c r="S12" s="2">
        <f t="shared" si="9"/>
        <v>8.165670480046528E-4</v>
      </c>
      <c r="T12" s="2">
        <f t="shared" si="10"/>
        <v>0</v>
      </c>
      <c r="U12" s="2">
        <f t="shared" si="11"/>
        <v>0.10180948188687207</v>
      </c>
    </row>
    <row r="13" spans="1:21" x14ac:dyDescent="0.25">
      <c r="A13" t="s">
        <v>16</v>
      </c>
      <c r="B13" s="1">
        <v>5139856.0327214096</v>
      </c>
      <c r="C13" s="1">
        <v>519583.30321058299</v>
      </c>
      <c r="D13" s="1">
        <v>126174.44498489601</v>
      </c>
      <c r="E13" s="1">
        <v>81756.1224012491</v>
      </c>
      <c r="F13" s="1">
        <v>1341666.4539098099</v>
      </c>
      <c r="G13" s="1">
        <f t="shared" si="2"/>
        <v>7209036.3572279466</v>
      </c>
      <c r="I13" t="s">
        <v>16</v>
      </c>
      <c r="J13" s="2">
        <f>B13/B$29</f>
        <v>0.30149927779197061</v>
      </c>
      <c r="K13" s="2">
        <f t="shared" si="3"/>
        <v>0.35712618871324336</v>
      </c>
      <c r="L13" s="2">
        <f t="shared" si="4"/>
        <v>0.29834055971692069</v>
      </c>
      <c r="M13" s="2">
        <f t="shared" si="5"/>
        <v>0.39519677991472507</v>
      </c>
      <c r="N13" s="2">
        <f t="shared" si="6"/>
        <v>0.29208824295481284</v>
      </c>
      <c r="P13" t="s">
        <v>16</v>
      </c>
      <c r="Q13" s="2">
        <f t="shared" si="7"/>
        <v>0.71297407559445458</v>
      </c>
      <c r="R13" s="2">
        <f t="shared" si="8"/>
        <v>7.207389135853598E-2</v>
      </c>
      <c r="S13" s="2">
        <f t="shared" si="9"/>
        <v>1.7502262262610258E-2</v>
      </c>
      <c r="T13" s="2">
        <f t="shared" si="10"/>
        <v>1.1340783753889453E-2</v>
      </c>
      <c r="U13" s="2">
        <f t="shared" si="11"/>
        <v>0.18610898703050985</v>
      </c>
    </row>
    <row r="14" spans="1:21" x14ac:dyDescent="0.25">
      <c r="A14" t="s">
        <v>17</v>
      </c>
      <c r="B14" s="1">
        <v>171393.996244215</v>
      </c>
      <c r="C14" s="1">
        <v>19663.237078107799</v>
      </c>
      <c r="D14" s="1">
        <v>2965.7390560808399</v>
      </c>
      <c r="E14" s="1">
        <v>8570.6538988971897</v>
      </c>
      <c r="F14" s="1">
        <v>38785.1342533223</v>
      </c>
      <c r="G14" s="1">
        <f t="shared" si="2"/>
        <v>241378.76053062314</v>
      </c>
      <c r="I14" t="s">
        <v>17</v>
      </c>
      <c r="J14" s="2">
        <f>B14/B$29</f>
        <v>1.0053815857202131E-2</v>
      </c>
      <c r="K14" s="2">
        <f t="shared" si="3"/>
        <v>1.3515170468485022E-2</v>
      </c>
      <c r="L14" s="2">
        <f t="shared" si="4"/>
        <v>7.0125154905290588E-3</v>
      </c>
      <c r="M14" s="2">
        <f t="shared" si="5"/>
        <v>4.1429249860754205E-2</v>
      </c>
      <c r="N14" s="2">
        <f t="shared" si="6"/>
        <v>8.4437392645586549E-3</v>
      </c>
      <c r="P14" t="s">
        <v>17</v>
      </c>
      <c r="Q14" s="2">
        <f t="shared" si="7"/>
        <v>0.71006245896465547</v>
      </c>
      <c r="R14" s="2">
        <f t="shared" si="8"/>
        <v>8.1462167735396801E-2</v>
      </c>
      <c r="S14" s="2">
        <f t="shared" si="9"/>
        <v>1.2286661218912771E-2</v>
      </c>
      <c r="T14" s="2">
        <f t="shared" si="10"/>
        <v>3.5507075602079961E-2</v>
      </c>
      <c r="U14" s="2">
        <f t="shared" si="11"/>
        <v>0.16068163647895492</v>
      </c>
    </row>
    <row r="15" spans="1:21" x14ac:dyDescent="0.25">
      <c r="A15" t="s">
        <v>18</v>
      </c>
      <c r="B15" s="1">
        <v>20524.005050949399</v>
      </c>
      <c r="C15" s="1">
        <v>680.31498814930603</v>
      </c>
      <c r="D15" s="1">
        <v>0</v>
      </c>
      <c r="E15" s="1">
        <v>1554.8631703317301</v>
      </c>
      <c r="F15" s="1">
        <v>2650.41772493804</v>
      </c>
      <c r="G15" s="1">
        <f t="shared" si="2"/>
        <v>25409.600934368475</v>
      </c>
      <c r="I15" t="s">
        <v>18</v>
      </c>
      <c r="J15" s="2">
        <f>B15/B$29</f>
        <v>1.2039194601689346E-3</v>
      </c>
      <c r="K15" s="2">
        <f t="shared" si="3"/>
        <v>4.6760220611590344E-4</v>
      </c>
      <c r="L15" s="2">
        <f t="shared" si="4"/>
        <v>0</v>
      </c>
      <c r="M15" s="2">
        <f t="shared" si="5"/>
        <v>7.515974340212987E-3</v>
      </c>
      <c r="N15" s="2">
        <f t="shared" si="6"/>
        <v>5.7701066767931958E-4</v>
      </c>
      <c r="P15" t="s">
        <v>18</v>
      </c>
      <c r="Q15" s="2">
        <f t="shared" si="7"/>
        <v>0.80772638279372089</v>
      </c>
      <c r="R15" s="2">
        <f t="shared" si="8"/>
        <v>2.6773934384350238E-2</v>
      </c>
      <c r="S15" s="2">
        <f t="shared" si="9"/>
        <v>0</v>
      </c>
      <c r="T15" s="2">
        <f t="shared" si="10"/>
        <v>6.1191955526883383E-2</v>
      </c>
      <c r="U15" s="2">
        <f t="shared" si="11"/>
        <v>0.10430772729504549</v>
      </c>
    </row>
    <row r="16" spans="1:21" x14ac:dyDescent="0.25">
      <c r="A16" t="s">
        <v>22</v>
      </c>
      <c r="B16" s="1">
        <v>445206.96386412397</v>
      </c>
      <c r="C16" s="1">
        <v>57856.990828372502</v>
      </c>
      <c r="D16" s="1">
        <v>703.237016781487</v>
      </c>
      <c r="E16" s="1">
        <v>14096.996957637801</v>
      </c>
      <c r="F16" s="1">
        <v>29980.277003859301</v>
      </c>
      <c r="G16" s="1">
        <f t="shared" si="2"/>
        <v>547844.46567077504</v>
      </c>
      <c r="I16" t="s">
        <v>22</v>
      </c>
      <c r="J16" s="2">
        <f>B16/B$30</f>
        <v>5.035221509428923E-3</v>
      </c>
      <c r="K16" s="2">
        <f t="shared" ref="K16:N16" si="12">C16/C$30</f>
        <v>4.4505106333405106E-3</v>
      </c>
      <c r="L16" s="2">
        <f t="shared" si="12"/>
        <v>5.5681094792080243E-4</v>
      </c>
      <c r="M16" s="2">
        <f t="shared" si="12"/>
        <v>7.3637326602389759E-3</v>
      </c>
      <c r="N16" s="2">
        <f t="shared" si="12"/>
        <v>7.7260667016257065E-3</v>
      </c>
      <c r="P16" t="s">
        <v>22</v>
      </c>
      <c r="Q16" s="2">
        <f t="shared" si="7"/>
        <v>0.81265211526599468</v>
      </c>
      <c r="R16" s="2">
        <f t="shared" si="8"/>
        <v>0.10560842438653278</v>
      </c>
      <c r="S16" s="2">
        <f t="shared" si="9"/>
        <v>1.2836435536871782E-3</v>
      </c>
      <c r="T16" s="2">
        <f t="shared" si="10"/>
        <v>2.5731750233850742E-2</v>
      </c>
      <c r="U16" s="2">
        <f t="shared" si="11"/>
        <v>5.47240665599346E-2</v>
      </c>
    </row>
    <row r="17" spans="1:21" x14ac:dyDescent="0.25">
      <c r="A17" t="s">
        <v>23</v>
      </c>
      <c r="B17" s="1">
        <v>5701729.0325191999</v>
      </c>
      <c r="C17" s="1">
        <v>873853.00668119697</v>
      </c>
      <c r="D17" s="1">
        <v>79097.753179780804</v>
      </c>
      <c r="E17" s="1">
        <v>125675.809213899</v>
      </c>
      <c r="F17" s="1">
        <v>491656.99934471003</v>
      </c>
      <c r="G17" s="1">
        <f t="shared" si="2"/>
        <v>7272012.6009387877</v>
      </c>
      <c r="I17" t="s">
        <v>23</v>
      </c>
      <c r="J17" s="2">
        <f>B17/B$30</f>
        <v>6.4485668454723657E-2</v>
      </c>
      <c r="K17" s="2">
        <f>C17/C$30</f>
        <v>6.7219052400216972E-2</v>
      </c>
      <c r="L17" s="2">
        <f>D17/D$30</f>
        <v>6.2628237529374103E-2</v>
      </c>
      <c r="M17" s="2">
        <f>E17/E$30</f>
        <v>6.5648241514937852E-2</v>
      </c>
      <c r="N17" s="2">
        <f>F17/F$30</f>
        <v>0.12670245744458575</v>
      </c>
      <c r="P17" t="s">
        <v>23</v>
      </c>
      <c r="Q17" s="2">
        <f t="shared" si="7"/>
        <v>0.78406478995692741</v>
      </c>
      <c r="R17" s="2">
        <f t="shared" si="8"/>
        <v>0.12016659687421141</v>
      </c>
      <c r="S17" s="2">
        <f t="shared" si="9"/>
        <v>1.0877009917387877E-2</v>
      </c>
      <c r="T17" s="2">
        <f t="shared" si="10"/>
        <v>1.7282122035607413E-2</v>
      </c>
      <c r="U17" s="2">
        <f t="shared" si="11"/>
        <v>6.7609481215865755E-2</v>
      </c>
    </row>
    <row r="18" spans="1:21" x14ac:dyDescent="0.25">
      <c r="A18" t="s">
        <v>24</v>
      </c>
      <c r="B18" s="1">
        <v>61370534.657321699</v>
      </c>
      <c r="C18" s="1">
        <v>4694082.3191931304</v>
      </c>
      <c r="D18" s="1">
        <v>856949.070748072</v>
      </c>
      <c r="E18" s="1">
        <v>636407.77285652398</v>
      </c>
      <c r="F18" s="1">
        <v>1753912.11429184</v>
      </c>
      <c r="G18" s="1">
        <f t="shared" si="2"/>
        <v>69311885.934411272</v>
      </c>
      <c r="I18" t="s">
        <v>24</v>
      </c>
      <c r="J18" s="2">
        <f>B18/B$30</f>
        <v>0.69409120079714148</v>
      </c>
      <c r="K18" s="2">
        <f>C18/C$30</f>
        <v>0.36108105479104768</v>
      </c>
      <c r="L18" s="2">
        <f>D18/D$30</f>
        <v>0.6785175026577841</v>
      </c>
      <c r="M18" s="2">
        <f>E18/E$30</f>
        <v>0.33243510772515705</v>
      </c>
      <c r="N18" s="2">
        <f>F18/F$30</f>
        <v>0.451991887268545</v>
      </c>
      <c r="P18" t="s">
        <v>24</v>
      </c>
      <c r="Q18" s="2">
        <f t="shared" si="7"/>
        <v>0.88542583757417381</v>
      </c>
      <c r="R18" s="2">
        <f t="shared" si="8"/>
        <v>6.7724059963323827E-2</v>
      </c>
      <c r="S18" s="2">
        <f t="shared" si="9"/>
        <v>1.2363666912179957E-2</v>
      </c>
      <c r="T18" s="2">
        <f t="shared" si="10"/>
        <v>9.1817985368158415E-3</v>
      </c>
      <c r="U18" s="2">
        <f t="shared" si="11"/>
        <v>2.530463701350644E-2</v>
      </c>
    </row>
    <row r="19" spans="1:21" x14ac:dyDescent="0.25">
      <c r="A19" t="s">
        <v>25</v>
      </c>
      <c r="B19" s="1">
        <v>1259747.18580054</v>
      </c>
      <c r="C19" s="1">
        <v>113328.978974753</v>
      </c>
      <c r="D19" s="1">
        <v>13078.7075454272</v>
      </c>
      <c r="E19" s="1">
        <v>19671.2096296854</v>
      </c>
      <c r="F19" s="1">
        <v>191199.03145291301</v>
      </c>
      <c r="G19" s="1">
        <f t="shared" si="2"/>
        <v>1597025.1134033187</v>
      </c>
      <c r="I19" t="s">
        <v>25</v>
      </c>
      <c r="J19" s="2">
        <f>B19/B$30</f>
        <v>1.4247544717924342E-2</v>
      </c>
      <c r="K19" s="2">
        <f>C19/C$30</f>
        <v>8.7175606399740799E-3</v>
      </c>
      <c r="L19" s="2">
        <f>D19/D$30</f>
        <v>1.0355495191759908E-2</v>
      </c>
      <c r="M19" s="2">
        <f>E19/E$30</f>
        <v>1.0275488407340522E-2</v>
      </c>
      <c r="N19" s="2">
        <f>F19/F$30</f>
        <v>4.9272942678324091E-2</v>
      </c>
      <c r="P19" t="s">
        <v>25</v>
      </c>
      <c r="Q19" s="2">
        <f t="shared" si="7"/>
        <v>0.78880862625633541</v>
      </c>
      <c r="R19" s="2">
        <f t="shared" si="8"/>
        <v>7.0962552826263833E-2</v>
      </c>
      <c r="S19" s="2">
        <f t="shared" si="9"/>
        <v>8.1894188360983246E-3</v>
      </c>
      <c r="T19" s="2">
        <f t="shared" si="10"/>
        <v>1.2317407825707472E-2</v>
      </c>
      <c r="U19" s="2">
        <f t="shared" si="11"/>
        <v>0.11972199425559496</v>
      </c>
    </row>
    <row r="20" spans="1:21" x14ac:dyDescent="0.25">
      <c r="A20" t="s">
        <v>26</v>
      </c>
      <c r="B20" s="1">
        <v>376406.23114368599</v>
      </c>
      <c r="C20" s="1">
        <v>0</v>
      </c>
      <c r="D20" s="1">
        <v>10539.7703202703</v>
      </c>
      <c r="E20" s="1">
        <v>359.36061950919202</v>
      </c>
      <c r="F20" s="1">
        <v>115336.315868101</v>
      </c>
      <c r="G20" s="1">
        <f t="shared" si="2"/>
        <v>502641.67795156653</v>
      </c>
      <c r="I20" t="s">
        <v>26</v>
      </c>
      <c r="J20" s="2">
        <f>B20/B$30</f>
        <v>4.2570959243040949E-3</v>
      </c>
      <c r="K20" s="2">
        <f>C20/C$30</f>
        <v>0</v>
      </c>
      <c r="L20" s="2">
        <f>D20/D$30</f>
        <v>8.3452084615175792E-3</v>
      </c>
      <c r="M20" s="2">
        <f>E20/E$30</f>
        <v>1.8771625890504358E-4</v>
      </c>
      <c r="N20" s="2">
        <f>F20/F$30</f>
        <v>2.9722743035429947E-2</v>
      </c>
      <c r="P20" t="s">
        <v>26</v>
      </c>
      <c r="Q20" s="2">
        <f t="shared" si="7"/>
        <v>0.74885598957425825</v>
      </c>
      <c r="R20" s="2">
        <f t="shared" si="8"/>
        <v>0</v>
      </c>
      <c r="S20" s="2">
        <f t="shared" si="9"/>
        <v>2.0968755243742223E-2</v>
      </c>
      <c r="T20" s="2">
        <f t="shared" si="10"/>
        <v>7.1494393575500365E-4</v>
      </c>
      <c r="U20" s="2">
        <f t="shared" si="11"/>
        <v>0.22946031124624439</v>
      </c>
    </row>
    <row r="21" spans="1:21" x14ac:dyDescent="0.25">
      <c r="A21" t="s">
        <v>27</v>
      </c>
      <c r="B21" s="1">
        <v>283011.52622287697</v>
      </c>
      <c r="C21" s="1">
        <v>11280.2167866122</v>
      </c>
      <c r="D21" s="1">
        <v>20503.108412977901</v>
      </c>
      <c r="E21" s="1">
        <v>4825.9353350185402</v>
      </c>
      <c r="F21" s="1">
        <v>9300.8461032473606</v>
      </c>
      <c r="G21" s="1">
        <f t="shared" si="2"/>
        <v>328921.63286073296</v>
      </c>
      <c r="I21" t="s">
        <v>27</v>
      </c>
      <c r="J21" s="2">
        <f>B21/B$30</f>
        <v>3.2008163391816394E-3</v>
      </c>
      <c r="K21" s="2">
        <f>C21/C$30</f>
        <v>8.6770369555038806E-4</v>
      </c>
      <c r="L21" s="2">
        <f>D21/D$30</f>
        <v>1.6234007821434897E-2</v>
      </c>
      <c r="M21" s="2">
        <f>E21/E$30</f>
        <v>2.5208842528282832E-3</v>
      </c>
      <c r="N21" s="2">
        <f>F21/F$30</f>
        <v>2.3968743639691649E-3</v>
      </c>
      <c r="P21" t="s">
        <v>27</v>
      </c>
      <c r="Q21" s="2">
        <f t="shared" si="7"/>
        <v>0.86042235580991855</v>
      </c>
      <c r="R21" s="2">
        <f t="shared" si="8"/>
        <v>3.4294542102642121E-2</v>
      </c>
      <c r="S21" s="2">
        <f t="shared" si="9"/>
        <v>6.2334326370254337E-2</v>
      </c>
      <c r="T21" s="2">
        <f t="shared" si="10"/>
        <v>1.4671991297884213E-2</v>
      </c>
      <c r="U21" s="2">
        <f t="shared" si="11"/>
        <v>2.8276784419300826E-2</v>
      </c>
    </row>
    <row r="22" spans="1:21" x14ac:dyDescent="0.25">
      <c r="A22" t="s">
        <v>28</v>
      </c>
      <c r="B22" s="1">
        <v>531546.737547155</v>
      </c>
      <c r="C22" s="1">
        <v>30589.4430432636</v>
      </c>
      <c r="D22" s="1">
        <v>1922.4758548745299</v>
      </c>
      <c r="E22" s="1">
        <v>55502.6415687681</v>
      </c>
      <c r="F22" s="1">
        <v>4957.26905318437</v>
      </c>
      <c r="G22" s="1">
        <f t="shared" si="2"/>
        <v>624518.5670672456</v>
      </c>
      <c r="I22" t="s">
        <v>28</v>
      </c>
      <c r="J22" s="2">
        <f>B22/B$30</f>
        <v>6.0117109196455715E-3</v>
      </c>
      <c r="K22" s="2">
        <f>C22/C$30</f>
        <v>2.3530197402739364E-3</v>
      </c>
      <c r="L22" s="2">
        <f>D22/D$30</f>
        <v>1.5221832434343524E-3</v>
      </c>
      <c r="M22" s="2">
        <f>E22/E$30</f>
        <v>2.8992459576863035E-2</v>
      </c>
      <c r="N22" s="2">
        <f>F22/F$30</f>
        <v>1.2775129248431241E-3</v>
      </c>
      <c r="P22" t="s">
        <v>28</v>
      </c>
      <c r="Q22" s="2">
        <f t="shared" si="7"/>
        <v>0.85113039960254733</v>
      </c>
      <c r="R22" s="2">
        <f t="shared" si="8"/>
        <v>4.8980838451148652E-2</v>
      </c>
      <c r="S22" s="2">
        <f t="shared" si="9"/>
        <v>3.0783325848941904E-3</v>
      </c>
      <c r="T22" s="2">
        <f t="shared" si="10"/>
        <v>8.8872684489445783E-2</v>
      </c>
      <c r="U22" s="2">
        <f t="shared" si="11"/>
        <v>7.9377448719640566E-3</v>
      </c>
    </row>
    <row r="23" spans="1:21" x14ac:dyDescent="0.25">
      <c r="A23" t="s">
        <v>29</v>
      </c>
      <c r="B23" s="1">
        <v>15011617.4228555</v>
      </c>
      <c r="C23" s="1">
        <v>6930414.9887695396</v>
      </c>
      <c r="D23" s="1">
        <v>224290.95960746499</v>
      </c>
      <c r="E23" s="1">
        <v>795382.36392287898</v>
      </c>
      <c r="F23" s="1">
        <v>1199033.69119423</v>
      </c>
      <c r="G23" s="1">
        <f t="shared" si="2"/>
        <v>24160739.42634961</v>
      </c>
      <c r="I23" t="s">
        <v>29</v>
      </c>
      <c r="J23" s="2">
        <f>B23/B$30</f>
        <v>0.1697790579977291</v>
      </c>
      <c r="K23" s="2">
        <f>C23/C$30</f>
        <v>0.53310559639157307</v>
      </c>
      <c r="L23" s="2">
        <f>D23/D$30</f>
        <v>0.17758971562770373</v>
      </c>
      <c r="M23" s="2">
        <f>E23/E$30</f>
        <v>0.41547736075970804</v>
      </c>
      <c r="N23" s="2">
        <f>F23/F$30</f>
        <v>0.30899695404650823</v>
      </c>
      <c r="P23" t="s">
        <v>29</v>
      </c>
      <c r="Q23" s="2">
        <f t="shared" si="7"/>
        <v>0.62132276491852267</v>
      </c>
      <c r="R23" s="2">
        <f t="shared" si="8"/>
        <v>0.2868461459921734</v>
      </c>
      <c r="S23" s="2">
        <f t="shared" si="9"/>
        <v>9.2832820904005173E-3</v>
      </c>
      <c r="T23" s="2">
        <f t="shared" si="10"/>
        <v>3.292044791706325E-2</v>
      </c>
      <c r="U23" s="2">
        <f t="shared" si="11"/>
        <v>4.9627359081840371E-2</v>
      </c>
    </row>
    <row r="24" spans="1:21" x14ac:dyDescent="0.25">
      <c r="A24" t="s">
        <v>30</v>
      </c>
      <c r="B24" s="1">
        <v>3438746.0863256198</v>
      </c>
      <c r="C24" s="1">
        <v>288673.281451346</v>
      </c>
      <c r="D24" s="1">
        <v>55887.600246424598</v>
      </c>
      <c r="E24" s="1">
        <v>262459.86916458799</v>
      </c>
      <c r="F24" s="1">
        <v>85029.639283366196</v>
      </c>
      <c r="G24" s="1">
        <f t="shared" si="2"/>
        <v>4130796.4764713445</v>
      </c>
      <c r="I24" t="s">
        <v>30</v>
      </c>
      <c r="J24" s="2">
        <f>B24/B$30</f>
        <v>3.8891683339921289E-2</v>
      </c>
      <c r="K24" s="2">
        <f>C24/C$30</f>
        <v>2.2205501708023292E-2</v>
      </c>
      <c r="L24" s="2">
        <f>D24/D$30</f>
        <v>4.4250838519070641E-2</v>
      </c>
      <c r="M24" s="2">
        <f>E24/E$30</f>
        <v>0.13709900884402124</v>
      </c>
      <c r="N24" s="2">
        <f>F24/F$30</f>
        <v>2.1912561536169044E-2</v>
      </c>
      <c r="P24" t="s">
        <v>30</v>
      </c>
      <c r="Q24" s="2">
        <f t="shared" si="7"/>
        <v>0.83246562882301678</v>
      </c>
      <c r="R24" s="2">
        <f t="shared" si="8"/>
        <v>6.9883201241117493E-2</v>
      </c>
      <c r="S24" s="2">
        <f t="shared" si="9"/>
        <v>1.3529497414059366E-2</v>
      </c>
      <c r="T24" s="2">
        <f t="shared" si="10"/>
        <v>6.3537351854427215E-2</v>
      </c>
      <c r="U24" s="2">
        <f t="shared" si="11"/>
        <v>2.0584320667379183E-2</v>
      </c>
    </row>
    <row r="25" spans="1:21" x14ac:dyDescent="0.25">
      <c r="A25" t="s">
        <v>19</v>
      </c>
      <c r="B25" s="1">
        <v>830934.58876869502</v>
      </c>
      <c r="C25" s="1">
        <v>59042.419138122998</v>
      </c>
      <c r="D25" s="1">
        <v>48648.778539019899</v>
      </c>
      <c r="E25" s="1">
        <v>33051.494100318501</v>
      </c>
      <c r="F25" s="1">
        <v>207420.48242818401</v>
      </c>
      <c r="G25" s="1">
        <f t="shared" si="2"/>
        <v>1179097.7629743405</v>
      </c>
      <c r="I25" t="s">
        <v>19</v>
      </c>
      <c r="J25" s="2">
        <f>B25/B$31</f>
        <v>0.4588384585017809</v>
      </c>
      <c r="K25" s="2">
        <f t="shared" ref="K25:N25" si="13">C25/C$31</f>
        <v>0.65559940891767554</v>
      </c>
      <c r="L25" s="2">
        <f t="shared" si="13"/>
        <v>0.70217769473413294</v>
      </c>
      <c r="M25" s="2">
        <f t="shared" si="13"/>
        <v>0.92500234041032314</v>
      </c>
      <c r="N25" s="2">
        <f t="shared" si="13"/>
        <v>0.39443908347204792</v>
      </c>
      <c r="P25" t="s">
        <v>19</v>
      </c>
      <c r="Q25" s="2">
        <f t="shared" si="7"/>
        <v>0.70472068971839597</v>
      </c>
      <c r="R25" s="2">
        <f t="shared" si="8"/>
        <v>5.0074235565662657E-2</v>
      </c>
      <c r="S25" s="2">
        <f t="shared" si="9"/>
        <v>4.1259325618853364E-2</v>
      </c>
      <c r="T25" s="2">
        <f t="shared" si="10"/>
        <v>2.8031173612732711E-2</v>
      </c>
      <c r="U25" s="2">
        <f t="shared" si="11"/>
        <v>0.17591457548435524</v>
      </c>
    </row>
    <row r="26" spans="1:21" x14ac:dyDescent="0.25">
      <c r="A26" t="s">
        <v>20</v>
      </c>
      <c r="B26" s="1">
        <v>895731.44339512102</v>
      </c>
      <c r="C26" s="1">
        <v>25821.682086163099</v>
      </c>
      <c r="D26" s="1">
        <v>20633.9385051891</v>
      </c>
      <c r="E26" s="1">
        <v>2679.76046673172</v>
      </c>
      <c r="F26" s="1">
        <v>269075.08505875402</v>
      </c>
      <c r="G26" s="1">
        <f t="shared" si="2"/>
        <v>1213941.9095119589</v>
      </c>
      <c r="I26" t="s">
        <v>20</v>
      </c>
      <c r="J26" s="2">
        <f t="shared" ref="J26:J27" si="14">B26/B$31</f>
        <v>0.49461899922594316</v>
      </c>
      <c r="K26" s="2">
        <f t="shared" ref="K26:K27" si="15">C26/C$31</f>
        <v>0.28672062832225664</v>
      </c>
      <c r="L26" s="2">
        <f t="shared" ref="L26:L27" si="16">D26/D$31</f>
        <v>0.297822305265867</v>
      </c>
      <c r="M26" s="2">
        <f t="shared" ref="M26:M27" si="17">E26/E$31</f>
        <v>7.4997659589676885E-2</v>
      </c>
      <c r="N26" s="2">
        <f t="shared" ref="N26:N27" si="18">F26/F$31</f>
        <v>0.51168394120616978</v>
      </c>
      <c r="P26" t="s">
        <v>20</v>
      </c>
      <c r="Q26" s="2">
        <f t="shared" si="7"/>
        <v>0.7378701043077357</v>
      </c>
      <c r="R26" s="2">
        <f t="shared" si="8"/>
        <v>2.1270937170745005E-2</v>
      </c>
      <c r="S26" s="2">
        <f t="shared" si="9"/>
        <v>1.699746778944683E-2</v>
      </c>
      <c r="T26" s="2">
        <f t="shared" si="10"/>
        <v>2.2074865738913852E-3</v>
      </c>
      <c r="U26" s="2">
        <f t="shared" si="11"/>
        <v>0.22165400415818107</v>
      </c>
    </row>
    <row r="27" spans="1:21" x14ac:dyDescent="0.25">
      <c r="A27" t="s">
        <v>21</v>
      </c>
      <c r="B27" s="1">
        <v>84286.326716253505</v>
      </c>
      <c r="C27" s="1">
        <v>5194.5814636615896</v>
      </c>
      <c r="D27" s="1">
        <v>0</v>
      </c>
      <c r="E27" s="1">
        <v>0</v>
      </c>
      <c r="F27" s="1">
        <v>49366.323790078197</v>
      </c>
      <c r="G27" s="1">
        <f t="shared" si="2"/>
        <v>138847.23196999327</v>
      </c>
      <c r="I27" t="s">
        <v>21</v>
      </c>
      <c r="J27" s="2">
        <f t="shared" si="14"/>
        <v>4.6542542272275958E-2</v>
      </c>
      <c r="K27" s="2">
        <f t="shared" si="15"/>
        <v>5.767996276006785E-2</v>
      </c>
      <c r="L27" s="2">
        <f t="shared" si="16"/>
        <v>0</v>
      </c>
      <c r="M27" s="2">
        <f t="shared" si="17"/>
        <v>0</v>
      </c>
      <c r="N27" s="2">
        <f t="shared" si="18"/>
        <v>9.3876975321782255E-2</v>
      </c>
      <c r="P27" t="s">
        <v>21</v>
      </c>
      <c r="Q27" s="2">
        <f t="shared" si="7"/>
        <v>0.6070436228391568</v>
      </c>
      <c r="R27" s="2">
        <f t="shared" si="8"/>
        <v>3.7412207574899353E-2</v>
      </c>
      <c r="S27" s="2">
        <f t="shared" si="9"/>
        <v>0</v>
      </c>
      <c r="T27" s="2">
        <f t="shared" si="10"/>
        <v>0</v>
      </c>
      <c r="U27" s="2">
        <f t="shared" si="11"/>
        <v>0.35554416958594404</v>
      </c>
    </row>
    <row r="29" spans="1:21" x14ac:dyDescent="0.25">
      <c r="A29" t="s">
        <v>33</v>
      </c>
      <c r="B29" s="1">
        <f>SUM(B5:B15)</f>
        <v>17047656.201245774</v>
      </c>
      <c r="C29" s="1">
        <f t="shared" ref="C29:F29" si="19">SUM(C5:C15)</f>
        <v>1454901.1515584637</v>
      </c>
      <c r="D29" s="1">
        <f t="shared" si="19"/>
        <v>422920.85630132275</v>
      </c>
      <c r="E29" s="1">
        <f t="shared" si="19"/>
        <v>206874.46496626391</v>
      </c>
      <c r="F29" s="1">
        <f t="shared" si="19"/>
        <v>4593360.0077062016</v>
      </c>
    </row>
    <row r="30" spans="1:21" x14ac:dyDescent="0.25">
      <c r="A30" t="s">
        <v>32</v>
      </c>
      <c r="B30" s="1">
        <f>SUM(B16:B24)</f>
        <v>88418545.843600392</v>
      </c>
      <c r="C30" s="1">
        <f t="shared" ref="C30:F30" si="20">SUM(C16:C24)</f>
        <v>13000079.225728216</v>
      </c>
      <c r="D30" s="1">
        <f t="shared" si="20"/>
        <v>1262972.6829320737</v>
      </c>
      <c r="E30" s="1">
        <f t="shared" si="20"/>
        <v>1914381.9592685089</v>
      </c>
      <c r="F30" s="1">
        <f t="shared" si="20"/>
        <v>3880406.1835954511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</row>
    <row r="31" spans="1:21" x14ac:dyDescent="0.25">
      <c r="A31" t="s">
        <v>34</v>
      </c>
      <c r="B31" s="1">
        <f>SUM(B25:B27)</f>
        <v>1810952.3588800696</v>
      </c>
      <c r="C31" s="1">
        <f t="shared" ref="C31:F31" si="21">SUM(C25:C27)</f>
        <v>90058.682687947687</v>
      </c>
      <c r="D31" s="1">
        <f t="shared" si="21"/>
        <v>69282.717044208999</v>
      </c>
      <c r="E31" s="1">
        <f t="shared" si="21"/>
        <v>35731.254567050222</v>
      </c>
      <c r="F31" s="1">
        <f t="shared" si="21"/>
        <v>525861.89127701626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</row>
    <row r="32" spans="1:21" x14ac:dyDescent="0.25">
      <c r="B32" s="1">
        <f>SUM(B29:B31)</f>
        <v>107277154.40372624</v>
      </c>
      <c r="C32" s="1">
        <f t="shared" ref="C32:F32" si="22">SUM(C29:C31)</f>
        <v>14545039.059974628</v>
      </c>
      <c r="D32" s="1">
        <f t="shared" si="22"/>
        <v>1755176.2562776054</v>
      </c>
      <c r="E32" s="1">
        <f t="shared" si="22"/>
        <v>2156987.6788018234</v>
      </c>
      <c r="F32" s="1">
        <f t="shared" si="22"/>
        <v>8999628.0825786702</v>
      </c>
      <c r="I32" t="s">
        <v>2</v>
      </c>
      <c r="J32" t="s">
        <v>31</v>
      </c>
      <c r="K32" t="s">
        <v>3</v>
      </c>
      <c r="L32" t="s">
        <v>4</v>
      </c>
      <c r="M32" t="s">
        <v>5</v>
      </c>
      <c r="N32" t="s">
        <v>6</v>
      </c>
    </row>
    <row r="33" spans="1:14" x14ac:dyDescent="0.25">
      <c r="I33" t="s">
        <v>7</v>
      </c>
    </row>
    <row r="34" spans="1:14" x14ac:dyDescent="0.25">
      <c r="I34" t="s">
        <v>8</v>
      </c>
      <c r="J34" s="2">
        <f>B5/B$32</f>
        <v>6.4738564843674948E-2</v>
      </c>
      <c r="K34" s="2">
        <f t="shared" ref="K34:N49" si="23">C5/C$32</f>
        <v>2.1482626991034912E-2</v>
      </c>
      <c r="L34" s="2">
        <f t="shared" si="23"/>
        <v>0.13533483295311757</v>
      </c>
      <c r="M34" s="2">
        <f t="shared" si="23"/>
        <v>2.5963238858863879E-2</v>
      </c>
      <c r="N34" s="2">
        <f t="shared" si="23"/>
        <v>0.31257040023244315</v>
      </c>
    </row>
    <row r="35" spans="1:14" x14ac:dyDescent="0.25">
      <c r="B35" t="s">
        <v>0</v>
      </c>
      <c r="C35" t="s">
        <v>0</v>
      </c>
      <c r="D35" t="s">
        <v>0</v>
      </c>
      <c r="E35" t="s">
        <v>0</v>
      </c>
      <c r="F35" t="s">
        <v>0</v>
      </c>
      <c r="I35" t="s">
        <v>9</v>
      </c>
      <c r="J35" s="2">
        <f t="shared" ref="J35:J56" si="24">B6/B$32</f>
        <v>1.9594529264076153E-2</v>
      </c>
      <c r="K35" s="2">
        <f t="shared" si="23"/>
        <v>3.9811624422372377E-2</v>
      </c>
      <c r="L35" s="2">
        <f t="shared" si="23"/>
        <v>2.0058184626687507E-2</v>
      </c>
      <c r="M35" s="2">
        <f t="shared" si="23"/>
        <v>2.1997626520442223E-2</v>
      </c>
      <c r="N35" s="2">
        <f t="shared" si="23"/>
        <v>1.2663597280497036E-2</v>
      </c>
    </row>
    <row r="36" spans="1:14" x14ac:dyDescent="0.25">
      <c r="B36" t="s">
        <v>1</v>
      </c>
      <c r="C36" t="s">
        <v>1</v>
      </c>
      <c r="D36" t="s">
        <v>1</v>
      </c>
      <c r="E36" t="s">
        <v>1</v>
      </c>
      <c r="F36" t="s">
        <v>1</v>
      </c>
      <c r="I36" t="s">
        <v>10</v>
      </c>
      <c r="J36" s="2">
        <f t="shared" si="24"/>
        <v>6.2623068127607806E-4</v>
      </c>
      <c r="K36" s="2">
        <f t="shared" si="23"/>
        <v>5.4917215346697145E-4</v>
      </c>
      <c r="L36" s="2">
        <f t="shared" si="23"/>
        <v>8.2781518818484626E-5</v>
      </c>
      <c r="M36" s="2">
        <f t="shared" si="23"/>
        <v>8.2840278002651495E-4</v>
      </c>
      <c r="N36" s="2">
        <f t="shared" si="23"/>
        <v>4.9454849919347251E-4</v>
      </c>
    </row>
    <row r="37" spans="1:14" x14ac:dyDescent="0.25">
      <c r="A37" t="s">
        <v>2</v>
      </c>
      <c r="B37" t="s">
        <v>31</v>
      </c>
      <c r="C37" t="s">
        <v>3</v>
      </c>
      <c r="D37" t="s">
        <v>4</v>
      </c>
      <c r="E37" t="s">
        <v>5</v>
      </c>
      <c r="F37" t="s">
        <v>6</v>
      </c>
      <c r="I37" t="s">
        <v>11</v>
      </c>
      <c r="J37" s="2">
        <f t="shared" si="24"/>
        <v>2.0280733185068612E-2</v>
      </c>
      <c r="K37" s="2">
        <f t="shared" si="23"/>
        <v>9.3486273887046674E-5</v>
      </c>
      <c r="L37" s="2">
        <f t="shared" si="23"/>
        <v>6.2241685813267042E-3</v>
      </c>
      <c r="M37" s="2">
        <f t="shared" si="23"/>
        <v>1.5924835126909656E-3</v>
      </c>
      <c r="N37" s="2">
        <f t="shared" si="23"/>
        <v>2.5227813207638998E-2</v>
      </c>
    </row>
    <row r="38" spans="1:14" x14ac:dyDescent="0.25">
      <c r="A38" t="s">
        <v>7</v>
      </c>
      <c r="I38" t="s">
        <v>12</v>
      </c>
      <c r="J38" s="2">
        <f t="shared" si="24"/>
        <v>4.817335917728849E-4</v>
      </c>
      <c r="K38" s="2">
        <f t="shared" si="23"/>
        <v>0</v>
      </c>
      <c r="L38" s="2">
        <f t="shared" si="23"/>
        <v>2.240974118011857E-3</v>
      </c>
      <c r="M38" s="2">
        <f t="shared" si="23"/>
        <v>4.6003754327565808E-4</v>
      </c>
      <c r="N38" s="2">
        <f t="shared" si="23"/>
        <v>1.254504294127591E-3</v>
      </c>
    </row>
    <row r="39" spans="1:14" x14ac:dyDescent="0.25">
      <c r="A39" t="s">
        <v>8</v>
      </c>
      <c r="B39" s="1"/>
      <c r="C39" s="1" t="str">
        <f>ROUND(C5,0)&amp;" ("&amp;ROUND(K34*100,1)&amp;")"</f>
        <v>312466 (2.1)</v>
      </c>
      <c r="D39" s="1"/>
      <c r="E39" s="1"/>
      <c r="F39" s="1" t="str">
        <f>ROUND(F5,0)&amp;" ("&amp;ROUND(N34*100,1)&amp;")"</f>
        <v>2813017 (31.3)</v>
      </c>
      <c r="I39" t="s">
        <v>13</v>
      </c>
      <c r="J39" s="2">
        <f t="shared" si="24"/>
        <v>5.1193835348509761E-4</v>
      </c>
      <c r="K39" s="2">
        <f t="shared" si="23"/>
        <v>9.9494256118252345E-5</v>
      </c>
      <c r="L39" s="2">
        <f t="shared" si="23"/>
        <v>2.3215117382598613E-3</v>
      </c>
      <c r="M39" s="2">
        <f t="shared" si="23"/>
        <v>2.4699782212504249E-3</v>
      </c>
      <c r="N39" s="2">
        <f t="shared" si="23"/>
        <v>1.248809049039828E-3</v>
      </c>
    </row>
    <row r="40" spans="1:14" x14ac:dyDescent="0.25">
      <c r="A40" t="s">
        <v>9</v>
      </c>
      <c r="B40" s="1"/>
      <c r="C40" s="1" t="str">
        <f t="shared" ref="C40:C61" si="25">ROUND(C6,0)&amp;" ("&amp;ROUND(K35*100,1)&amp;")"</f>
        <v>579062 (4)</v>
      </c>
      <c r="D40" s="1"/>
      <c r="E40" s="1"/>
      <c r="F40" s="1" t="str">
        <f t="shared" ref="F40:F61" si="26">ROUND(F6,0)&amp;" ("&amp;ROUND(N35*100,1)&amp;")"</f>
        <v>113968 (1.3)</v>
      </c>
      <c r="I40" t="s">
        <v>14</v>
      </c>
      <c r="J40" s="2">
        <f t="shared" si="24"/>
        <v>1.4954956427290771E-3</v>
      </c>
      <c r="K40" s="2">
        <f t="shared" si="23"/>
        <v>5.7481560962795619E-4</v>
      </c>
      <c r="L40" s="2">
        <f t="shared" si="23"/>
        <v>1.0324754102991746E-3</v>
      </c>
      <c r="M40" s="2">
        <f t="shared" si="23"/>
        <v>0</v>
      </c>
      <c r="N40" s="2">
        <f t="shared" si="23"/>
        <v>1.1919186292975714E-3</v>
      </c>
    </row>
    <row r="41" spans="1:14" x14ac:dyDescent="0.25">
      <c r="A41" t="s">
        <v>10</v>
      </c>
      <c r="B41" s="1"/>
      <c r="C41" s="1" t="str">
        <f t="shared" si="25"/>
        <v>7988 (0.1)</v>
      </c>
      <c r="D41" s="1"/>
      <c r="E41" s="1"/>
      <c r="F41" s="1" t="str">
        <f t="shared" si="26"/>
        <v>4451 (0)</v>
      </c>
      <c r="I41" t="s">
        <v>15</v>
      </c>
      <c r="J41" s="2">
        <f t="shared" si="24"/>
        <v>1.4821180119433171E-3</v>
      </c>
      <c r="K41" s="2">
        <f t="shared" si="23"/>
        <v>2.9506005725542868E-4</v>
      </c>
      <c r="L41" s="2">
        <f t="shared" si="23"/>
        <v>8.4655416931232806E-5</v>
      </c>
      <c r="M41" s="2">
        <f t="shared" si="23"/>
        <v>0</v>
      </c>
      <c r="N41" s="2">
        <f t="shared" si="23"/>
        <v>2.058483086553489E-3</v>
      </c>
    </row>
    <row r="42" spans="1:14" x14ac:dyDescent="0.25">
      <c r="A42" t="s">
        <v>11</v>
      </c>
      <c r="B42" s="1"/>
      <c r="C42" s="1" t="str">
        <f t="shared" si="25"/>
        <v>1360 (0)</v>
      </c>
      <c r="D42" s="1"/>
      <c r="E42" s="1"/>
      <c r="F42" s="1" t="str">
        <f t="shared" si="26"/>
        <v>227041 (2.5)</v>
      </c>
      <c r="I42" t="s">
        <v>16</v>
      </c>
      <c r="J42" s="2">
        <f t="shared" si="24"/>
        <v>4.7911934850341988E-2</v>
      </c>
      <c r="K42" s="2">
        <f t="shared" si="23"/>
        <v>3.5722372491964235E-2</v>
      </c>
      <c r="L42" s="2">
        <f t="shared" si="23"/>
        <v>7.1887050963467328E-2</v>
      </c>
      <c r="M42" s="2">
        <f t="shared" si="23"/>
        <v>3.7902915813901858E-2</v>
      </c>
      <c r="N42" s="2">
        <f t="shared" si="23"/>
        <v>0.14908021104860827</v>
      </c>
    </row>
    <row r="43" spans="1:14" x14ac:dyDescent="0.25">
      <c r="A43" t="s">
        <v>12</v>
      </c>
      <c r="B43" s="1"/>
      <c r="C43" s="1" t="str">
        <f t="shared" si="25"/>
        <v>0 (0)</v>
      </c>
      <c r="D43" s="1"/>
      <c r="E43" s="1"/>
      <c r="F43" s="1" t="str">
        <f t="shared" si="26"/>
        <v>11290 (0.1)</v>
      </c>
      <c r="I43" t="s">
        <v>17</v>
      </c>
      <c r="J43" s="2">
        <f t="shared" si="24"/>
        <v>1.5976747071346786E-3</v>
      </c>
      <c r="K43" s="2">
        <f t="shared" si="23"/>
        <v>1.3518861652436222E-3</v>
      </c>
      <c r="L43" s="2">
        <f t="shared" si="23"/>
        <v>1.6897101048817785E-3</v>
      </c>
      <c r="M43" s="2">
        <f t="shared" si="23"/>
        <v>3.9734366510883684E-3</v>
      </c>
      <c r="N43" s="2">
        <f t="shared" si="23"/>
        <v>4.3096374536189903E-3</v>
      </c>
    </row>
    <row r="44" spans="1:14" x14ac:dyDescent="0.25">
      <c r="A44" t="s">
        <v>13</v>
      </c>
      <c r="B44" s="1"/>
      <c r="C44" s="1" t="str">
        <f t="shared" si="25"/>
        <v>1447 (0)</v>
      </c>
      <c r="D44" s="1"/>
      <c r="E44" s="1"/>
      <c r="F44" s="1" t="str">
        <f t="shared" si="26"/>
        <v>11239 (0.1)</v>
      </c>
      <c r="I44" t="s">
        <v>18</v>
      </c>
      <c r="J44" s="2">
        <f t="shared" si="24"/>
        <v>1.9131757516338918E-4</v>
      </c>
      <c r="K44" s="2">
        <f t="shared" si="23"/>
        <v>4.6772991488308371E-5</v>
      </c>
      <c r="L44" s="2">
        <f t="shared" si="23"/>
        <v>0</v>
      </c>
      <c r="M44" s="2">
        <f t="shared" si="23"/>
        <v>7.2084935190516936E-4</v>
      </c>
      <c r="N44" s="2">
        <f t="shared" si="23"/>
        <v>2.945030284161047E-4</v>
      </c>
    </row>
    <row r="45" spans="1:14" x14ac:dyDescent="0.25">
      <c r="A45" t="s">
        <v>14</v>
      </c>
      <c r="B45" s="1"/>
      <c r="C45" s="1" t="str">
        <f t="shared" si="25"/>
        <v>8361 (0.1)</v>
      </c>
      <c r="D45" s="1"/>
      <c r="E45" s="1"/>
      <c r="F45" s="1" t="str">
        <f t="shared" si="26"/>
        <v>10727 (0.1)</v>
      </c>
      <c r="I45" t="s">
        <v>22</v>
      </c>
      <c r="J45" s="2">
        <f t="shared" si="24"/>
        <v>4.1500631363564564E-3</v>
      </c>
      <c r="K45" s="2">
        <f t="shared" si="23"/>
        <v>3.9777817433013776E-3</v>
      </c>
      <c r="L45" s="2">
        <f t="shared" si="23"/>
        <v>4.0066461374820488E-4</v>
      </c>
      <c r="M45" s="2">
        <f t="shared" si="23"/>
        <v>6.5355018464771601E-3</v>
      </c>
      <c r="N45" s="2">
        <f t="shared" si="23"/>
        <v>3.3312795516399862E-3</v>
      </c>
    </row>
    <row r="46" spans="1:14" x14ac:dyDescent="0.25">
      <c r="A46" t="s">
        <v>15</v>
      </c>
      <c r="B46" s="1"/>
      <c r="C46" s="1" t="str">
        <f t="shared" si="25"/>
        <v>4292 (0)</v>
      </c>
      <c r="D46" s="1"/>
      <c r="E46" s="1"/>
      <c r="F46" s="1" t="str">
        <f t="shared" si="26"/>
        <v>18526 (0.2)</v>
      </c>
      <c r="I46" t="s">
        <v>23</v>
      </c>
      <c r="J46" s="2">
        <f t="shared" si="24"/>
        <v>5.3149517846654892E-2</v>
      </c>
      <c r="K46" s="2">
        <f t="shared" si="23"/>
        <v>6.0079110346694477E-2</v>
      </c>
      <c r="L46" s="2">
        <f t="shared" si="23"/>
        <v>4.506541886997268E-2</v>
      </c>
      <c r="M46" s="2">
        <f t="shared" si="23"/>
        <v>5.8264500279255262E-2</v>
      </c>
      <c r="N46" s="2">
        <f t="shared" si="23"/>
        <v>5.4630813055091848E-2</v>
      </c>
    </row>
    <row r="47" spans="1:14" x14ac:dyDescent="0.25">
      <c r="A47" t="s">
        <v>16</v>
      </c>
      <c r="B47" s="1"/>
      <c r="C47" s="1" t="str">
        <f t="shared" si="25"/>
        <v>519583 (3.6)</v>
      </c>
      <c r="D47" s="1"/>
      <c r="E47" s="1"/>
      <c r="F47" s="1" t="str">
        <f t="shared" si="26"/>
        <v>1341666 (14.9)</v>
      </c>
      <c r="I47" t="s">
        <v>24</v>
      </c>
      <c r="J47" s="2">
        <f t="shared" si="24"/>
        <v>0.57207459499121482</v>
      </c>
      <c r="K47" s="2">
        <f t="shared" si="23"/>
        <v>0.32272737803162138</v>
      </c>
      <c r="L47" s="2">
        <f t="shared" si="23"/>
        <v>0.48824103430244536</v>
      </c>
      <c r="M47" s="2">
        <f t="shared" si="23"/>
        <v>0.29504469548478812</v>
      </c>
      <c r="N47" s="2">
        <f t="shared" si="23"/>
        <v>0.19488717735869929</v>
      </c>
    </row>
    <row r="48" spans="1:14" x14ac:dyDescent="0.25">
      <c r="A48" t="s">
        <v>17</v>
      </c>
      <c r="B48" s="1"/>
      <c r="C48" s="1" t="str">
        <f t="shared" si="25"/>
        <v>19663 (0.1)</v>
      </c>
      <c r="D48" s="1"/>
      <c r="E48" s="1"/>
      <c r="F48" s="1" t="str">
        <f t="shared" si="26"/>
        <v>38785 (0.4)</v>
      </c>
      <c r="I48" t="s">
        <v>25</v>
      </c>
      <c r="J48" s="2">
        <f t="shared" si="24"/>
        <v>1.1742921340545767E-2</v>
      </c>
      <c r="K48" s="2">
        <f t="shared" si="23"/>
        <v>7.7915898683706035E-3</v>
      </c>
      <c r="L48" s="2">
        <f t="shared" si="23"/>
        <v>7.4515066499159736E-3</v>
      </c>
      <c r="M48" s="2">
        <f t="shared" si="23"/>
        <v>9.1197598498163335E-3</v>
      </c>
      <c r="N48" s="2">
        <f t="shared" si="23"/>
        <v>2.1245214768711711E-2</v>
      </c>
    </row>
    <row r="49" spans="1:14" x14ac:dyDescent="0.25">
      <c r="A49" t="s">
        <v>18</v>
      </c>
      <c r="B49" s="1"/>
      <c r="C49" s="1" t="str">
        <f t="shared" si="25"/>
        <v>680 (0)</v>
      </c>
      <c r="D49" s="1"/>
      <c r="E49" s="1"/>
      <c r="F49" s="1" t="str">
        <f t="shared" si="26"/>
        <v>2650 (0)</v>
      </c>
      <c r="I49" t="s">
        <v>26</v>
      </c>
      <c r="J49" s="2">
        <f t="shared" si="24"/>
        <v>3.5087268415707681E-3</v>
      </c>
      <c r="K49" s="2">
        <f t="shared" si="23"/>
        <v>0</v>
      </c>
      <c r="L49" s="2">
        <f t="shared" si="23"/>
        <v>6.0049640499485477E-3</v>
      </c>
      <c r="M49" s="2">
        <f t="shared" si="23"/>
        <v>1.6660300058311499E-4</v>
      </c>
      <c r="N49" s="2">
        <f t="shared" si="23"/>
        <v>1.2815675804577648E-2</v>
      </c>
    </row>
    <row r="50" spans="1:14" x14ac:dyDescent="0.25">
      <c r="A50" t="s">
        <v>22</v>
      </c>
      <c r="B50" s="1"/>
      <c r="C50" s="1" t="str">
        <f t="shared" si="25"/>
        <v>57857 (0.4)</v>
      </c>
      <c r="D50" s="1"/>
      <c r="E50" s="1"/>
      <c r="F50" s="1" t="str">
        <f t="shared" si="26"/>
        <v>29980 (0.3)</v>
      </c>
      <c r="I50" t="s">
        <v>27</v>
      </c>
      <c r="J50" s="2">
        <f t="shared" si="24"/>
        <v>2.6381341656192053E-3</v>
      </c>
      <c r="K50" s="2">
        <f t="shared" ref="K50:K56" si="27">C21/C$32</f>
        <v>7.7553705700614858E-4</v>
      </c>
      <c r="L50" s="2">
        <f t="shared" ref="L50:L56" si="28">D21/D$32</f>
        <v>1.1681509671547796E-2</v>
      </c>
      <c r="M50" s="2">
        <f t="shared" ref="M50:M56" si="29">E21/E$32</f>
        <v>2.2373495140682862E-3</v>
      </c>
      <c r="N50" s="2">
        <f t="shared" ref="N50:N56" si="30">F21/F$32</f>
        <v>1.0334700520849059E-3</v>
      </c>
    </row>
    <row r="51" spans="1:14" x14ac:dyDescent="0.25">
      <c r="A51" t="s">
        <v>23</v>
      </c>
      <c r="B51" s="1"/>
      <c r="C51" s="1" t="str">
        <f t="shared" si="25"/>
        <v>873853 (6)</v>
      </c>
      <c r="D51" s="1"/>
      <c r="E51" s="1"/>
      <c r="F51" s="1" t="str">
        <f t="shared" si="26"/>
        <v>491657 (5.5)</v>
      </c>
      <c r="I51" t="s">
        <v>28</v>
      </c>
      <c r="J51" s="2">
        <f t="shared" si="24"/>
        <v>4.9548922182139077E-3</v>
      </c>
      <c r="K51" s="2">
        <f t="shared" si="27"/>
        <v>2.1030842830419296E-3</v>
      </c>
      <c r="L51" s="2">
        <f t="shared" si="28"/>
        <v>1.0953178337494919E-3</v>
      </c>
      <c r="M51" s="2">
        <f t="shared" si="29"/>
        <v>2.5731552439650023E-2</v>
      </c>
      <c r="N51" s="2">
        <f t="shared" si="30"/>
        <v>5.5083043517993471E-4</v>
      </c>
    </row>
    <row r="52" spans="1:14" x14ac:dyDescent="0.25">
      <c r="A52" t="s">
        <v>24</v>
      </c>
      <c r="B52" s="1"/>
      <c r="C52" s="1" t="str">
        <f t="shared" si="25"/>
        <v>4694082 (32.3)</v>
      </c>
      <c r="D52" s="1"/>
      <c r="E52" s="1"/>
      <c r="F52" s="1" t="str">
        <f t="shared" si="26"/>
        <v>1753912 (19.5)</v>
      </c>
      <c r="I52" t="s">
        <v>29</v>
      </c>
      <c r="J52" s="2">
        <f t="shared" si="24"/>
        <v>0.13993303146689429</v>
      </c>
      <c r="K52" s="2">
        <f t="shared" si="27"/>
        <v>0.47647964094100059</v>
      </c>
      <c r="L52" s="2">
        <f t="shared" si="28"/>
        <v>0.12778828268970741</v>
      </c>
      <c r="M52" s="2">
        <f t="shared" si="29"/>
        <v>0.36874682768920719</v>
      </c>
      <c r="N52" s="2">
        <f t="shared" si="30"/>
        <v>0.13323147136661118</v>
      </c>
    </row>
    <row r="53" spans="1:14" x14ac:dyDescent="0.25">
      <c r="A53" t="s">
        <v>25</v>
      </c>
      <c r="B53" s="1"/>
      <c r="C53" s="1" t="str">
        <f t="shared" si="25"/>
        <v>113329 (0.8)</v>
      </c>
      <c r="D53" s="1"/>
      <c r="E53" s="1"/>
      <c r="F53" s="1" t="str">
        <f t="shared" si="26"/>
        <v>191199 (2.1)</v>
      </c>
      <c r="I53" t="s">
        <v>30</v>
      </c>
      <c r="J53" s="2">
        <f t="shared" si="24"/>
        <v>3.2054784687746862E-2</v>
      </c>
      <c r="K53" s="2">
        <f t="shared" si="27"/>
        <v>1.9846855017785669E-2</v>
      </c>
      <c r="L53" s="2">
        <f t="shared" si="28"/>
        <v>3.1841588584927395E-2</v>
      </c>
      <c r="M53" s="2">
        <f t="shared" si="29"/>
        <v>0.1216788912351974</v>
      </c>
      <c r="N53" s="2">
        <f t="shared" si="30"/>
        <v>9.4481281340909138E-3</v>
      </c>
    </row>
    <row r="54" spans="1:14" x14ac:dyDescent="0.25">
      <c r="A54" t="s">
        <v>26</v>
      </c>
      <c r="B54" s="1"/>
      <c r="C54" s="1" t="str">
        <f t="shared" si="25"/>
        <v>0 (0)</v>
      </c>
      <c r="D54" s="1"/>
      <c r="E54" s="1"/>
      <c r="F54" s="1" t="str">
        <f t="shared" si="26"/>
        <v>115336 (1.3)</v>
      </c>
      <c r="I54" t="s">
        <v>19</v>
      </c>
      <c r="J54" s="2">
        <f t="shared" si="24"/>
        <v>7.7456807405755796E-3</v>
      </c>
      <c r="K54" s="2">
        <f t="shared" si="27"/>
        <v>4.0592822676287811E-3</v>
      </c>
      <c r="L54" s="2">
        <f t="shared" si="28"/>
        <v>2.7717318055677606E-2</v>
      </c>
      <c r="M54" s="2">
        <f t="shared" si="29"/>
        <v>1.5322986971663254E-2</v>
      </c>
      <c r="N54" s="2">
        <f t="shared" si="30"/>
        <v>2.3047672695464507E-2</v>
      </c>
    </row>
    <row r="55" spans="1:14" x14ac:dyDescent="0.25">
      <c r="A55" t="s">
        <v>27</v>
      </c>
      <c r="B55" s="1"/>
      <c r="C55" s="1" t="str">
        <f t="shared" si="25"/>
        <v>11280 (0.1)</v>
      </c>
      <c r="D55" s="1"/>
      <c r="E55" s="1"/>
      <c r="F55" s="1" t="str">
        <f t="shared" si="26"/>
        <v>9301 (0.1)</v>
      </c>
      <c r="I55" t="s">
        <v>20</v>
      </c>
      <c r="J55" s="2">
        <f t="shared" si="24"/>
        <v>8.3496942883489467E-3</v>
      </c>
      <c r="K55" s="2">
        <f t="shared" si="27"/>
        <v>1.7752913539586014E-3</v>
      </c>
      <c r="L55" s="2">
        <f t="shared" si="28"/>
        <v>1.1756049246558152E-2</v>
      </c>
      <c r="M55" s="2">
        <f t="shared" si="29"/>
        <v>1.242362435848632E-3</v>
      </c>
      <c r="N55" s="2">
        <f t="shared" si="30"/>
        <v>2.9898467202175285E-2</v>
      </c>
    </row>
    <row r="56" spans="1:14" x14ac:dyDescent="0.25">
      <c r="A56" t="s">
        <v>28</v>
      </c>
      <c r="B56" s="1"/>
      <c r="C56" s="1" t="str">
        <f t="shared" si="25"/>
        <v>30589 (0.2)</v>
      </c>
      <c r="D56" s="1"/>
      <c r="E56" s="1"/>
      <c r="F56" s="1" t="str">
        <f t="shared" si="26"/>
        <v>4957 (0.1)</v>
      </c>
      <c r="I56" t="s">
        <v>21</v>
      </c>
      <c r="J56" s="2">
        <f t="shared" si="24"/>
        <v>7.856875695924113E-4</v>
      </c>
      <c r="K56" s="2">
        <f t="shared" si="27"/>
        <v>3.5713767713117789E-4</v>
      </c>
      <c r="L56" s="2">
        <f t="shared" si="28"/>
        <v>0</v>
      </c>
      <c r="M56" s="2">
        <f t="shared" si="29"/>
        <v>0</v>
      </c>
      <c r="N56" s="2">
        <f t="shared" si="30"/>
        <v>5.4853737662382629E-3</v>
      </c>
    </row>
    <row r="57" spans="1:14" x14ac:dyDescent="0.25">
      <c r="A57" t="s">
        <v>29</v>
      </c>
      <c r="B57" s="1"/>
      <c r="C57" s="1" t="str">
        <f t="shared" si="25"/>
        <v>6930415 (47.6)</v>
      </c>
      <c r="D57" s="1"/>
      <c r="E57" s="1"/>
      <c r="F57" s="1" t="str">
        <f t="shared" si="26"/>
        <v>1199034 (13.3)</v>
      </c>
    </row>
    <row r="58" spans="1:14" x14ac:dyDescent="0.25">
      <c r="A58" t="s">
        <v>30</v>
      </c>
      <c r="B58" s="1"/>
      <c r="C58" s="1" t="str">
        <f t="shared" si="25"/>
        <v>288673 (2)</v>
      </c>
      <c r="D58" s="1"/>
      <c r="E58" s="1"/>
      <c r="F58" s="1" t="str">
        <f t="shared" si="26"/>
        <v>85030 (0.9)</v>
      </c>
    </row>
    <row r="59" spans="1:14" x14ac:dyDescent="0.25">
      <c r="A59" t="s">
        <v>19</v>
      </c>
      <c r="B59" s="1"/>
      <c r="C59" s="1" t="str">
        <f t="shared" si="25"/>
        <v>59042 (0.4)</v>
      </c>
      <c r="D59" s="1"/>
      <c r="E59" s="1"/>
      <c r="F59" s="1" t="str">
        <f t="shared" si="26"/>
        <v>207420 (2.3)</v>
      </c>
    </row>
    <row r="60" spans="1:14" x14ac:dyDescent="0.25">
      <c r="A60" t="s">
        <v>20</v>
      </c>
      <c r="B60" s="1"/>
      <c r="C60" s="1" t="str">
        <f t="shared" si="25"/>
        <v>25822 (0.2)</v>
      </c>
      <c r="D60" s="1"/>
      <c r="E60" s="1"/>
      <c r="F60" s="1" t="str">
        <f t="shared" si="26"/>
        <v>269075 (3)</v>
      </c>
    </row>
    <row r="61" spans="1:14" x14ac:dyDescent="0.25">
      <c r="A61" t="s">
        <v>21</v>
      </c>
      <c r="B61" s="1"/>
      <c r="C61" s="1" t="str">
        <f t="shared" si="25"/>
        <v>5195 (0)</v>
      </c>
      <c r="D61" s="1"/>
      <c r="E61" s="1"/>
      <c r="F61" s="1" t="str">
        <f t="shared" si="26"/>
        <v>49366 (0.5)</v>
      </c>
    </row>
  </sheetData>
  <conditionalFormatting sqref="B5:F2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{EBDF1127-6B91-441E-8496-9071CA67A12A}</x14:id>
        </ext>
      </extLst>
    </cfRule>
  </conditionalFormatting>
  <conditionalFormatting sqref="J5:N2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{4F49A2A4-3FC9-48C5-B4C9-16CEA052138D}</x14:id>
        </ext>
      </extLst>
    </cfRule>
  </conditionalFormatting>
  <conditionalFormatting sqref="Q5:U2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{4C8CB45B-9FC3-4EB2-89AD-C0E4C11ACCBF}</x14:id>
        </ext>
      </extLst>
    </cfRule>
  </conditionalFormatting>
  <conditionalFormatting sqref="J34:N5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{695D6BD0-AC42-4659-9809-7F780A4286BE}</x14:id>
        </ext>
      </extLst>
    </cfRule>
  </conditionalFormatting>
  <conditionalFormatting sqref="B39:F6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{FF172D09-1A19-441B-9B5D-E63643B39FEE}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DF1127-6B91-441E-8496-9071CA67A1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B5:F27</xm:sqref>
        </x14:conditionalFormatting>
        <x14:conditionalFormatting xmlns:xm="http://schemas.microsoft.com/office/excel/2006/main">
          <x14:cfRule type="dataBar" id="{4F49A2A4-3FC9-48C5-B4C9-16CEA05213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J5:N27</xm:sqref>
        </x14:conditionalFormatting>
        <x14:conditionalFormatting xmlns:xm="http://schemas.microsoft.com/office/excel/2006/main">
          <x14:cfRule type="dataBar" id="{4C8CB45B-9FC3-4EB2-89AD-C0E4C11ACC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Q5:U27</xm:sqref>
        </x14:conditionalFormatting>
        <x14:conditionalFormatting xmlns:xm="http://schemas.microsoft.com/office/excel/2006/main">
          <x14:cfRule type="dataBar" id="{695D6BD0-AC42-4659-9809-7F780A4286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J34:N56</xm:sqref>
        </x14:conditionalFormatting>
        <x14:conditionalFormatting xmlns:xm="http://schemas.microsoft.com/office/excel/2006/main">
          <x14:cfRule type="dataBar" id="{FF172D09-1A19-441B-9B5D-E63643B39F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B39:F61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pivot_landuse_CohChg_LISA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Changho</cp:lastModifiedBy>
  <dcterms:created xsi:type="dcterms:W3CDTF">2025-10-20T23:23:04Z</dcterms:created>
  <dcterms:modified xsi:type="dcterms:W3CDTF">2025-10-21T06:46:30Z</dcterms:modified>
</cp:coreProperties>
</file>