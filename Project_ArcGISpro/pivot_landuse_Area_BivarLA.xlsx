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\DinSAR\Results_251002\Data_Analysis\Revised_Data_Analysis\"/>
    </mc:Choice>
  </mc:AlternateContent>
  <xr:revisionPtr revIDLastSave="0" documentId="8_{B45731B2-066F-4632-92DA-B53310901F4D}" xr6:coauthVersionLast="47" xr6:coauthVersionMax="47" xr10:uidLastSave="{00000000-0000-0000-0000-000000000000}"/>
  <bookViews>
    <workbookView xWindow="-28920" yWindow="-120" windowWidth="29040" windowHeight="15720" xr2:uid="{A9949B5D-4593-40D0-B84F-31005B0ED9B3}"/>
  </bookViews>
  <sheets>
    <sheet name="pivot_landuse_Area_BivarLA" sheetId="1" r:id="rId1"/>
  </sheets>
  <calcPr calcId="0"/>
</workbook>
</file>

<file path=xl/calcChain.xml><?xml version="1.0" encoding="utf-8"?>
<calcChain xmlns="http://schemas.openxmlformats.org/spreadsheetml/2006/main">
  <c r="F25" i="1" l="1"/>
  <c r="E25" i="1"/>
  <c r="D25" i="1"/>
  <c r="D28" i="1" s="1"/>
  <c r="C25" i="1"/>
  <c r="C28" i="1" s="1"/>
  <c r="B25" i="1"/>
  <c r="G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B28" i="1" l="1"/>
  <c r="E28" i="1"/>
  <c r="F28" i="1"/>
  <c r="K15" i="1"/>
  <c r="D44" i="1" s="1"/>
  <c r="K18" i="1"/>
  <c r="D47" i="1" s="1"/>
  <c r="K20" i="1"/>
  <c r="D49" i="1" s="1"/>
  <c r="K23" i="1"/>
  <c r="D52" i="1" s="1"/>
  <c r="K10" i="1"/>
  <c r="D39" i="1" s="1"/>
  <c r="K13" i="1"/>
  <c r="D42" i="1" s="1"/>
  <c r="K6" i="1"/>
  <c r="D35" i="1" s="1"/>
  <c r="K7" i="1"/>
  <c r="D36" i="1" s="1"/>
  <c r="K8" i="1"/>
  <c r="D37" i="1" s="1"/>
  <c r="K9" i="1"/>
  <c r="D38" i="1" s="1"/>
  <c r="K11" i="1"/>
  <c r="D40" i="1" s="1"/>
  <c r="K12" i="1"/>
  <c r="D41" i="1" s="1"/>
  <c r="K14" i="1"/>
  <c r="D43" i="1" s="1"/>
  <c r="K16" i="1"/>
  <c r="D45" i="1" s="1"/>
  <c r="K21" i="1"/>
  <c r="D50" i="1" s="1"/>
  <c r="K22" i="1"/>
  <c r="D51" i="1" s="1"/>
  <c r="K5" i="1"/>
  <c r="D34" i="1" s="1"/>
  <c r="K17" i="1"/>
  <c r="D46" i="1" s="1"/>
  <c r="K19" i="1"/>
  <c r="D48" i="1" s="1"/>
</calcChain>
</file>

<file path=xl/sharedStrings.xml><?xml version="1.0" encoding="utf-8"?>
<sst xmlns="http://schemas.openxmlformats.org/spreadsheetml/2006/main" count="101" uniqueCount="32">
  <si>
    <t>sum</t>
  </si>
  <si>
    <t>Shape_Area</t>
  </si>
  <si>
    <t>ASSOC_CAT</t>
  </si>
  <si>
    <t>High-High</t>
  </si>
  <si>
    <t>High-Low</t>
  </si>
  <si>
    <t>Low-High</t>
  </si>
  <si>
    <t>Low-Low</t>
  </si>
  <si>
    <t>Not Significant</t>
  </si>
  <si>
    <t>RowLabel</t>
  </si>
  <si>
    <t>Artificial use | Building site</t>
  </si>
  <si>
    <t>Artificial use | Drainage</t>
  </si>
  <si>
    <t>Artificial use | Factory site</t>
  </si>
  <si>
    <t>Artificial use | Gas station</t>
  </si>
  <si>
    <t>Artificial use | Parking lot</t>
  </si>
  <si>
    <t>Artificial use | Religious site</t>
  </si>
  <si>
    <t>Artificial use | Road</t>
  </si>
  <si>
    <t>Artificial use | Warehouse</t>
  </si>
  <si>
    <t>Mixed use | Miscellaneous land</t>
  </si>
  <si>
    <t>Mixed use | School site</t>
  </si>
  <si>
    <t>Natural use | Cemetery</t>
  </si>
  <si>
    <t>Natural use | Farmland</t>
  </si>
  <si>
    <t>Natural use | Forest</t>
  </si>
  <si>
    <t>Natural use | Orchard</t>
  </si>
  <si>
    <t>Natural use | Park area</t>
  </si>
  <si>
    <t>Natural use | Ranch</t>
  </si>
  <si>
    <t>Natural use | Reservoir</t>
  </si>
  <si>
    <t>Natural use | Rice paddy</t>
  </si>
  <si>
    <t>Natural use | River</t>
  </si>
  <si>
    <t xml:space="preserve">Artificial use </t>
  </si>
  <si>
    <t xml:space="preserve">Natural use </t>
  </si>
  <si>
    <t>Mixed use</t>
  </si>
  <si>
    <t>COType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</si>
</sst>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8009-114C-47BE-BF34-F09756998CD0}">
  <dimension ref="A1:M52"/>
  <sheetViews>
    <sheetView tabSelected="1" workbookViewId="0">
      <selection activeCell="G24" sqref="G24"/>
    </sheetView>
  </sheetViews>
  <sheetFormatPr defaultRowHeight="15" x14ac:dyDescent="0.25"/>
  <cols>
    <col min="1" max="1" width="29.42578125" bestFit="1" customWidth="1"/>
    <col min="2" max="2" width="12.5703125" bestFit="1" customWidth="1"/>
    <col min="3" max="5" width="12.140625" bestFit="1" customWidth="1"/>
    <col min="6" max="6" width="14.140625" bestFit="1" customWidth="1"/>
    <col min="8" max="8" width="29.42578125" bestFit="1" customWidth="1"/>
    <col min="9" max="9" width="9.7109375" bestFit="1" customWidth="1"/>
    <col min="12" max="12" width="8.5703125" bestFit="1" customWidth="1"/>
    <col min="13" max="13" width="14" bestFit="1" customWidth="1"/>
  </cols>
  <sheetData>
    <row r="1" spans="1:13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13" x14ac:dyDescent="0.25">
      <c r="B2" t="s">
        <v>1</v>
      </c>
      <c r="C2" t="s">
        <v>1</v>
      </c>
      <c r="D2" t="s">
        <v>1</v>
      </c>
      <c r="E2" t="s">
        <v>1</v>
      </c>
      <c r="F2" t="s">
        <v>1</v>
      </c>
    </row>
    <row r="3" spans="1:13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</row>
    <row r="4" spans="1:13" x14ac:dyDescent="0.25">
      <c r="A4" t="s">
        <v>8</v>
      </c>
      <c r="H4" t="s">
        <v>8</v>
      </c>
    </row>
    <row r="5" spans="1:13" x14ac:dyDescent="0.25">
      <c r="A5" t="s">
        <v>9</v>
      </c>
      <c r="B5" s="2">
        <v>346088.60668167198</v>
      </c>
      <c r="C5" s="2">
        <v>520056.91832654399</v>
      </c>
      <c r="D5" s="2">
        <v>755397.52164542</v>
      </c>
      <c r="E5" s="2">
        <v>3094075.43076364</v>
      </c>
      <c r="F5" s="2">
        <v>5648372.4113704702</v>
      </c>
      <c r="H5" t="s">
        <v>9</v>
      </c>
      <c r="I5" s="2"/>
      <c r="J5" s="2"/>
      <c r="K5" s="1">
        <f>D5/D$28</f>
        <v>7.6879243124254731E-2</v>
      </c>
      <c r="L5" s="2"/>
      <c r="M5" s="2"/>
    </row>
    <row r="6" spans="1:13" x14ac:dyDescent="0.25">
      <c r="A6" t="s">
        <v>10</v>
      </c>
      <c r="B6" s="2">
        <v>776675.49016748904</v>
      </c>
      <c r="C6" s="2">
        <v>327651.67831048899</v>
      </c>
      <c r="D6" s="2">
        <v>219922.521329966</v>
      </c>
      <c r="E6" s="2">
        <v>127478.96039692</v>
      </c>
      <c r="F6" s="2">
        <v>1426000.24787051</v>
      </c>
      <c r="H6" t="s">
        <v>10</v>
      </c>
      <c r="I6" s="2"/>
      <c r="J6" s="2"/>
      <c r="K6" s="1">
        <f>D6/D$28</f>
        <v>2.2382224592155654E-2</v>
      </c>
      <c r="L6" s="2"/>
      <c r="M6" s="2"/>
    </row>
    <row r="7" spans="1:13" x14ac:dyDescent="0.25">
      <c r="A7" t="s">
        <v>11</v>
      </c>
      <c r="B7" s="2">
        <v>16489.783822371799</v>
      </c>
      <c r="C7" s="2">
        <v>136924.255071085</v>
      </c>
      <c r="D7" s="2">
        <v>67752.959748862995</v>
      </c>
      <c r="E7" s="2">
        <v>582874.26618568297</v>
      </c>
      <c r="F7" s="2">
        <v>1614378.25842274</v>
      </c>
      <c r="H7" t="s">
        <v>11</v>
      </c>
      <c r="I7" s="2"/>
      <c r="J7" s="2"/>
      <c r="K7" s="1">
        <f>D7/D$28</f>
        <v>6.895437323615773E-3</v>
      </c>
      <c r="L7" s="2"/>
      <c r="M7" s="2"/>
    </row>
    <row r="8" spans="1:13" x14ac:dyDescent="0.25">
      <c r="A8" t="s">
        <v>12</v>
      </c>
      <c r="B8" s="2">
        <v>1007.59729312133</v>
      </c>
      <c r="C8" s="2">
        <v>5324.0637064341399</v>
      </c>
      <c r="D8" s="2">
        <v>3152.31890402109</v>
      </c>
      <c r="E8" s="2">
        <v>14385.620375995801</v>
      </c>
      <c r="F8" s="2">
        <v>44025.080577154098</v>
      </c>
      <c r="H8" t="s">
        <v>12</v>
      </c>
      <c r="I8" s="2"/>
      <c r="J8" s="2"/>
      <c r="K8" s="1">
        <f>D8/D$28</f>
        <v>3.2082166605409984E-4</v>
      </c>
      <c r="L8" s="2"/>
      <c r="M8" s="2"/>
    </row>
    <row r="9" spans="1:13" x14ac:dyDescent="0.25">
      <c r="A9" t="s">
        <v>13</v>
      </c>
      <c r="B9" s="2">
        <v>668.508786743212</v>
      </c>
      <c r="C9" s="2">
        <v>12271.897819142299</v>
      </c>
      <c r="D9" s="2">
        <v>5415.6970120895403</v>
      </c>
      <c r="E9" s="2">
        <v>25668.768083933799</v>
      </c>
      <c r="F9" s="2">
        <v>32982.757790910997</v>
      </c>
      <c r="H9" t="s">
        <v>13</v>
      </c>
      <c r="I9" s="2"/>
      <c r="J9" s="2"/>
      <c r="K9" s="1">
        <f>D9/D$28</f>
        <v>5.5117295907037222E-4</v>
      </c>
      <c r="L9" s="2"/>
      <c r="M9" s="2"/>
    </row>
    <row r="10" spans="1:13" x14ac:dyDescent="0.25">
      <c r="A10" t="s">
        <v>14</v>
      </c>
      <c r="B10" s="2">
        <v>18036.2645498329</v>
      </c>
      <c r="C10" s="2">
        <v>51274.170354695001</v>
      </c>
      <c r="D10" s="2">
        <v>20489.928544805902</v>
      </c>
      <c r="E10" s="2">
        <v>12025.308486059599</v>
      </c>
      <c r="F10" s="2">
        <v>80137.558305235201</v>
      </c>
      <c r="H10" t="s">
        <v>14</v>
      </c>
      <c r="I10" s="2"/>
      <c r="J10" s="2"/>
      <c r="K10" s="1">
        <f>D10/D$28</f>
        <v>2.0853261402863786E-3</v>
      </c>
      <c r="L10" s="2"/>
      <c r="M10" s="2"/>
    </row>
    <row r="11" spans="1:13" x14ac:dyDescent="0.25">
      <c r="A11" t="s">
        <v>15</v>
      </c>
      <c r="B11" s="2">
        <v>494471.27428871399</v>
      </c>
      <c r="C11" s="2">
        <v>721607.440894934</v>
      </c>
      <c r="D11" s="2">
        <v>429333.61946285499</v>
      </c>
      <c r="E11" s="2">
        <v>1634575.3074310699</v>
      </c>
      <c r="F11" s="2">
        <v>3929048.7151503898</v>
      </c>
      <c r="H11" t="s">
        <v>15</v>
      </c>
      <c r="I11" s="2"/>
      <c r="J11" s="2"/>
      <c r="K11" s="1">
        <f>D11/D$28</f>
        <v>4.3694667729654461E-2</v>
      </c>
      <c r="L11" s="2"/>
      <c r="M11" s="2"/>
    </row>
    <row r="12" spans="1:13" x14ac:dyDescent="0.25">
      <c r="A12" t="s">
        <v>16</v>
      </c>
      <c r="B12" s="2">
        <v>25542.877052809901</v>
      </c>
      <c r="C12" s="2">
        <v>39312.546381398803</v>
      </c>
      <c r="D12" s="2">
        <v>39330.254471396504</v>
      </c>
      <c r="E12" s="2">
        <v>32662.025635464201</v>
      </c>
      <c r="F12" s="2">
        <v>104531.056989554</v>
      </c>
      <c r="H12" t="s">
        <v>16</v>
      </c>
      <c r="I12" s="2"/>
      <c r="J12" s="2"/>
      <c r="K12" s="1">
        <f>D12/D$28</f>
        <v>4.0027668995512005E-3</v>
      </c>
      <c r="L12" s="2"/>
      <c r="M12" s="2"/>
    </row>
    <row r="13" spans="1:13" x14ac:dyDescent="0.25">
      <c r="A13" t="s">
        <v>19</v>
      </c>
      <c r="B13" s="2">
        <v>88310.759133332904</v>
      </c>
      <c r="C13" s="2">
        <v>59315.439332532202</v>
      </c>
      <c r="D13" s="2">
        <v>34177.279219680997</v>
      </c>
      <c r="E13" s="2">
        <v>32128.329731950798</v>
      </c>
      <c r="F13" s="2">
        <v>333912.658253278</v>
      </c>
      <c r="H13" t="s">
        <v>19</v>
      </c>
      <c r="I13" s="2"/>
      <c r="J13" s="2"/>
      <c r="K13" s="1">
        <f>D13/D$28</f>
        <v>3.478331981725433E-3</v>
      </c>
      <c r="L13" s="2"/>
      <c r="M13" s="2"/>
    </row>
    <row r="14" spans="1:13" x14ac:dyDescent="0.25">
      <c r="A14" t="s">
        <v>20</v>
      </c>
      <c r="B14" s="2">
        <v>881800.83561493398</v>
      </c>
      <c r="C14" s="2">
        <v>1167337.45202437</v>
      </c>
      <c r="D14" s="2">
        <v>551555.50761487102</v>
      </c>
      <c r="E14" s="2">
        <v>664024.94840853405</v>
      </c>
      <c r="F14" s="2">
        <v>4007293.8572760699</v>
      </c>
      <c r="H14" t="s">
        <v>20</v>
      </c>
      <c r="I14" s="2"/>
      <c r="J14" s="2"/>
      <c r="K14" s="1">
        <f>D14/D$28</f>
        <v>5.6133583644915969E-2</v>
      </c>
      <c r="L14" s="2"/>
      <c r="M14" s="2"/>
    </row>
    <row r="15" spans="1:13" x14ac:dyDescent="0.25">
      <c r="A15" t="s">
        <v>21</v>
      </c>
      <c r="B15" s="2">
        <v>13222611.741715699</v>
      </c>
      <c r="C15" s="2">
        <v>9082483.3129647207</v>
      </c>
      <c r="D15" s="2">
        <v>5067389.84857444</v>
      </c>
      <c r="E15" s="2">
        <v>3438801.27994433</v>
      </c>
      <c r="F15" s="2">
        <v>38500599.751212001</v>
      </c>
      <c r="H15" t="s">
        <v>21</v>
      </c>
      <c r="I15" s="2"/>
      <c r="J15" s="2"/>
      <c r="K15" s="1">
        <f>D15/D$28</f>
        <v>0.51572461520041946</v>
      </c>
      <c r="L15" s="2"/>
      <c r="M15" s="2"/>
    </row>
    <row r="16" spans="1:13" x14ac:dyDescent="0.25">
      <c r="A16" t="s">
        <v>22</v>
      </c>
      <c r="B16" s="2">
        <v>156335.082698379</v>
      </c>
      <c r="C16" s="2">
        <v>124458.690626708</v>
      </c>
      <c r="D16" s="2">
        <v>123635.743240141</v>
      </c>
      <c r="E16" s="2">
        <v>39193.125350095099</v>
      </c>
      <c r="F16" s="2">
        <v>1153402.4714879999</v>
      </c>
      <c r="H16" t="s">
        <v>22</v>
      </c>
      <c r="I16" s="2"/>
      <c r="J16" s="2"/>
      <c r="K16" s="1">
        <f>D16/D$28</f>
        <v>1.2582808509488791E-2</v>
      </c>
      <c r="L16" s="2"/>
      <c r="M16" s="2"/>
    </row>
    <row r="17" spans="1:13" x14ac:dyDescent="0.25">
      <c r="A17" t="s">
        <v>23</v>
      </c>
      <c r="B17" s="2">
        <v>0</v>
      </c>
      <c r="C17" s="2">
        <v>16281.080518839201</v>
      </c>
      <c r="D17" s="2">
        <v>2613.1037989592501</v>
      </c>
      <c r="E17" s="2">
        <v>160050.61729281</v>
      </c>
      <c r="F17" s="2">
        <v>323696.876340958</v>
      </c>
      <c r="H17" t="s">
        <v>23</v>
      </c>
      <c r="I17" s="2"/>
      <c r="J17" s="2"/>
      <c r="K17" s="1">
        <f>D17/D$28</f>
        <v>2.6594400499423436E-4</v>
      </c>
      <c r="L17" s="2"/>
      <c r="M17" s="2"/>
    </row>
    <row r="18" spans="1:13" x14ac:dyDescent="0.25">
      <c r="A18" t="s">
        <v>24</v>
      </c>
      <c r="B18" s="2">
        <v>74887.104372419402</v>
      </c>
      <c r="C18" s="2">
        <v>15764.570216525501</v>
      </c>
      <c r="D18" s="2">
        <v>77554.998064013795</v>
      </c>
      <c r="E18" s="2">
        <v>10221.617112260799</v>
      </c>
      <c r="F18" s="2">
        <v>150493.343095513</v>
      </c>
      <c r="H18" t="s">
        <v>24</v>
      </c>
      <c r="I18" s="2"/>
      <c r="J18" s="2"/>
      <c r="K18" s="1">
        <f>D18/D$28</f>
        <v>7.8930223899558016E-3</v>
      </c>
      <c r="L18" s="2"/>
      <c r="M18" s="2"/>
    </row>
    <row r="19" spans="1:13" x14ac:dyDescent="0.25">
      <c r="A19" t="s">
        <v>25</v>
      </c>
      <c r="B19" s="2">
        <v>104199.95307969701</v>
      </c>
      <c r="C19" s="2">
        <v>60320.880807349902</v>
      </c>
      <c r="D19" s="2">
        <v>30013.041414805499</v>
      </c>
      <c r="E19" s="2">
        <v>17319.217653153599</v>
      </c>
      <c r="F19" s="2">
        <v>412665.47411223903</v>
      </c>
      <c r="H19" t="s">
        <v>25</v>
      </c>
      <c r="I19" s="2"/>
      <c r="J19" s="2"/>
      <c r="K19" s="1">
        <f>D19/D$28</f>
        <v>3.0545240640996322E-3</v>
      </c>
      <c r="L19" s="2"/>
      <c r="M19" s="2"/>
    </row>
    <row r="20" spans="1:13" x14ac:dyDescent="0.25">
      <c r="A20" t="s">
        <v>26</v>
      </c>
      <c r="B20" s="2">
        <v>6410807.5621072799</v>
      </c>
      <c r="C20" s="2">
        <v>4961133.9641722804</v>
      </c>
      <c r="D20" s="2">
        <v>1750402.6664724301</v>
      </c>
      <c r="E20" s="2">
        <v>1381885.6707542101</v>
      </c>
      <c r="F20" s="2">
        <v>9656509.5628434308</v>
      </c>
      <c r="H20" t="s">
        <v>26</v>
      </c>
      <c r="I20" s="2"/>
      <c r="J20" s="2"/>
      <c r="K20" s="1">
        <f>D20/D$28</f>
        <v>0.17814412717155309</v>
      </c>
      <c r="L20" s="2"/>
      <c r="M20" s="2"/>
    </row>
    <row r="21" spans="1:13" x14ac:dyDescent="0.25">
      <c r="A21" t="s">
        <v>27</v>
      </c>
      <c r="B21" s="2">
        <v>921003.57176127995</v>
      </c>
      <c r="C21" s="2">
        <v>800977.41709654895</v>
      </c>
      <c r="D21" s="2">
        <v>433016.950291196</v>
      </c>
      <c r="E21" s="2">
        <v>85410.091229105601</v>
      </c>
      <c r="F21" s="2">
        <v>1890388.44609321</v>
      </c>
      <c r="H21" t="s">
        <v>27</v>
      </c>
      <c r="I21" s="2"/>
      <c r="J21" s="2"/>
      <c r="K21" s="1">
        <f>D21/D$28</f>
        <v>4.4069532192596149E-2</v>
      </c>
      <c r="L21" s="2"/>
      <c r="M21" s="2"/>
    </row>
    <row r="22" spans="1:13" x14ac:dyDescent="0.25">
      <c r="A22" t="s">
        <v>17</v>
      </c>
      <c r="B22" s="2">
        <v>94567.538365745393</v>
      </c>
      <c r="C22" s="2">
        <v>148422.98728914</v>
      </c>
      <c r="D22" s="2">
        <v>151175.440063886</v>
      </c>
      <c r="E22" s="2">
        <v>153509.78018321801</v>
      </c>
      <c r="F22" s="2">
        <v>631422.01707235095</v>
      </c>
      <c r="H22" t="s">
        <v>17</v>
      </c>
      <c r="I22" s="2"/>
      <c r="J22" s="2"/>
      <c r="K22" s="1">
        <f>D22/D$28</f>
        <v>1.5385612314125543E-2</v>
      </c>
      <c r="L22" s="2"/>
      <c r="M22" s="2"/>
    </row>
    <row r="23" spans="1:13" x14ac:dyDescent="0.25">
      <c r="A23" t="s">
        <v>18</v>
      </c>
      <c r="B23" s="2">
        <v>30820.556976800701</v>
      </c>
      <c r="C23" s="2">
        <v>26128.365137630499</v>
      </c>
      <c r="D23" s="2">
        <v>63437.490475508101</v>
      </c>
      <c r="E23" s="2">
        <v>369922.97561031202</v>
      </c>
      <c r="F23" s="2">
        <v>723632.52131170803</v>
      </c>
      <c r="H23" t="s">
        <v>18</v>
      </c>
      <c r="I23" s="2"/>
      <c r="J23" s="2"/>
      <c r="K23" s="1">
        <f>D23/D$28</f>
        <v>6.4562380914832207E-3</v>
      </c>
      <c r="L23" s="2"/>
      <c r="M23" s="2"/>
    </row>
    <row r="25" spans="1:13" x14ac:dyDescent="0.25">
      <c r="A25" t="s">
        <v>28</v>
      </c>
      <c r="B25" s="2">
        <f>SUM(B5:B12)</f>
        <v>1678980.4026427539</v>
      </c>
      <c r="C25" s="2">
        <f>SUM(C5:C12)</f>
        <v>1814422.9708647223</v>
      </c>
      <c r="D25" s="2">
        <f>SUM(D5:D12)</f>
        <v>1540794.821119417</v>
      </c>
      <c r="E25" s="2">
        <f>SUM(E5:E12)</f>
        <v>5523745.6873587668</v>
      </c>
      <c r="F25" s="2">
        <f>SUM(F5:F12)</f>
        <v>12879476.086476963</v>
      </c>
      <c r="G25" s="2">
        <f>SUM(G3:G12)</f>
        <v>0</v>
      </c>
    </row>
    <row r="26" spans="1:13" x14ac:dyDescent="0.25">
      <c r="A26" t="s">
        <v>29</v>
      </c>
      <c r="B26" s="2">
        <f>SUM(B13:B21)</f>
        <v>21859956.610483021</v>
      </c>
      <c r="C26" s="2">
        <f>SUM(C13:C21)</f>
        <v>16288072.807759875</v>
      </c>
      <c r="D26" s="2">
        <f>SUM(D13:D21)</f>
        <v>8070359.1386905387</v>
      </c>
      <c r="E26" s="2">
        <f>SUM(E13:E21)</f>
        <v>5829034.8974764505</v>
      </c>
      <c r="F26" s="2">
        <f>SUM(F13:F21)</f>
        <v>56428962.440714695</v>
      </c>
      <c r="G26" s="2">
        <f>SUM(G13:G21)</f>
        <v>0</v>
      </c>
    </row>
    <row r="27" spans="1:13" x14ac:dyDescent="0.25">
      <c r="A27" t="s">
        <v>30</v>
      </c>
      <c r="B27" s="2">
        <f>SUM(B22:B23)</f>
        <v>125388.09534254609</v>
      </c>
      <c r="C27" s="2">
        <f>SUM(C22:C23)</f>
        <v>174551.35242677049</v>
      </c>
      <c r="D27" s="2">
        <f>SUM(D22:D23)</f>
        <v>214612.93053939409</v>
      </c>
      <c r="E27" s="2">
        <f>SUM(E22:E23)</f>
        <v>523432.75579353003</v>
      </c>
      <c r="F27" s="2">
        <f>SUM(F22:F23)</f>
        <v>1355054.538384059</v>
      </c>
      <c r="G27" s="2">
        <f>SUM(G22:G23)</f>
        <v>0</v>
      </c>
    </row>
    <row r="28" spans="1:13" x14ac:dyDescent="0.25">
      <c r="B28" s="2">
        <f>SUM(B25:B27)</f>
        <v>23664325.10846832</v>
      </c>
      <c r="C28" s="2">
        <f>SUM(C25:C27)</f>
        <v>18277047.131051369</v>
      </c>
      <c r="D28" s="2">
        <f>SUM(D25:D27)</f>
        <v>9825766.890349349</v>
      </c>
      <c r="E28" s="2">
        <f>SUM(E25:E27)</f>
        <v>11876213.340628747</v>
      </c>
      <c r="F28" s="2">
        <f>SUM(F25:F27)</f>
        <v>70663493.065575719</v>
      </c>
      <c r="G28" s="2">
        <f>SUM(G3:G23)</f>
        <v>0</v>
      </c>
    </row>
    <row r="30" spans="1:13" x14ac:dyDescent="0.25">
      <c r="B30" t="s">
        <v>0</v>
      </c>
      <c r="C30" t="s">
        <v>0</v>
      </c>
      <c r="D30" t="s">
        <v>0</v>
      </c>
      <c r="E30" t="s">
        <v>0</v>
      </c>
      <c r="F30" t="s">
        <v>0</v>
      </c>
    </row>
    <row r="31" spans="1:13" x14ac:dyDescent="0.25">
      <c r="B31" t="s">
        <v>1</v>
      </c>
      <c r="C31" t="s">
        <v>1</v>
      </c>
      <c r="D31" t="s">
        <v>1</v>
      </c>
      <c r="E31" t="s">
        <v>1</v>
      </c>
      <c r="F31" t="s">
        <v>1</v>
      </c>
    </row>
    <row r="32" spans="1:13" x14ac:dyDescent="0.25">
      <c r="A32" t="s">
        <v>31</v>
      </c>
      <c r="B32" t="s">
        <v>3</v>
      </c>
      <c r="C32" t="s">
        <v>4</v>
      </c>
      <c r="D32" t="s">
        <v>5</v>
      </c>
      <c r="E32" t="s">
        <v>6</v>
      </c>
      <c r="F32" t="s">
        <v>7</v>
      </c>
    </row>
    <row r="33" spans="1:6" x14ac:dyDescent="0.25">
      <c r="A33" t="s">
        <v>8</v>
      </c>
    </row>
    <row r="34" spans="1:6" x14ac:dyDescent="0.25">
      <c r="A34" t="s">
        <v>9</v>
      </c>
      <c r="B34" s="2"/>
      <c r="C34" s="2"/>
      <c r="D34" s="2" t="str">
        <f>ROUND(D5,0)&amp;" ("&amp;ROUND(K5*100,1)&amp;")"</f>
        <v>755398 (7.7)</v>
      </c>
      <c r="E34" s="2"/>
      <c r="F34" s="2"/>
    </row>
    <row r="35" spans="1:6" x14ac:dyDescent="0.25">
      <c r="A35" t="s">
        <v>10</v>
      </c>
      <c r="B35" s="2"/>
      <c r="C35" s="2"/>
      <c r="D35" s="2" t="str">
        <f>ROUND(D6,0)&amp;" ("&amp;ROUND(K6*100,1)&amp;")"</f>
        <v>219923 (2.2)</v>
      </c>
      <c r="E35" s="2"/>
      <c r="F35" s="2"/>
    </row>
    <row r="36" spans="1:6" x14ac:dyDescent="0.25">
      <c r="A36" t="s">
        <v>11</v>
      </c>
      <c r="B36" s="2"/>
      <c r="C36" s="2"/>
      <c r="D36" s="2" t="str">
        <f>ROUND(D7,0)&amp;" ("&amp;ROUND(K7*100,1)&amp;")"</f>
        <v>67753 (0.7)</v>
      </c>
      <c r="E36" s="2"/>
      <c r="F36" s="2"/>
    </row>
    <row r="37" spans="1:6" x14ac:dyDescent="0.25">
      <c r="A37" t="s">
        <v>12</v>
      </c>
      <c r="B37" s="2"/>
      <c r="C37" s="2"/>
      <c r="D37" s="2" t="str">
        <f>ROUND(D8,0)&amp;" ("&amp;ROUND(K8*100,1)&amp;")"</f>
        <v>3152 (0)</v>
      </c>
      <c r="E37" s="2"/>
      <c r="F37" s="2"/>
    </row>
    <row r="38" spans="1:6" x14ac:dyDescent="0.25">
      <c r="A38" t="s">
        <v>13</v>
      </c>
      <c r="B38" s="2"/>
      <c r="C38" s="2"/>
      <c r="D38" s="2" t="str">
        <f>ROUND(D9,0)&amp;" ("&amp;ROUND(K9*100,1)&amp;")"</f>
        <v>5416 (0.1)</v>
      </c>
      <c r="E38" s="2"/>
      <c r="F38" s="2"/>
    </row>
    <row r="39" spans="1:6" x14ac:dyDescent="0.25">
      <c r="A39" t="s">
        <v>14</v>
      </c>
      <c r="B39" s="2"/>
      <c r="C39" s="2"/>
      <c r="D39" s="2" t="str">
        <f t="shared" ref="D39:D52" si="0">ROUND(D10,0)&amp;" ("&amp;ROUND(K10*100,1)&amp;")"</f>
        <v>20490 (0.2)</v>
      </c>
      <c r="E39" s="2"/>
      <c r="F39" s="2"/>
    </row>
    <row r="40" spans="1:6" x14ac:dyDescent="0.25">
      <c r="A40" t="s">
        <v>15</v>
      </c>
      <c r="B40" s="2"/>
      <c r="C40" s="2"/>
      <c r="D40" s="2" t="str">
        <f t="shared" si="0"/>
        <v>429334 (4.4)</v>
      </c>
      <c r="E40" s="2"/>
      <c r="F40" s="2"/>
    </row>
    <row r="41" spans="1:6" x14ac:dyDescent="0.25">
      <c r="A41" t="s">
        <v>16</v>
      </c>
      <c r="B41" s="2"/>
      <c r="C41" s="2"/>
      <c r="D41" s="2" t="str">
        <f t="shared" si="0"/>
        <v>39330 (0.4)</v>
      </c>
      <c r="E41" s="2"/>
      <c r="F41" s="2"/>
    </row>
    <row r="42" spans="1:6" x14ac:dyDescent="0.25">
      <c r="A42" t="s">
        <v>19</v>
      </c>
      <c r="B42" s="2"/>
      <c r="C42" s="2"/>
      <c r="D42" s="2" t="str">
        <f t="shared" si="0"/>
        <v>34177 (0.3)</v>
      </c>
      <c r="E42" s="2"/>
      <c r="F42" s="2"/>
    </row>
    <row r="43" spans="1:6" x14ac:dyDescent="0.25">
      <c r="A43" t="s">
        <v>20</v>
      </c>
      <c r="B43" s="2"/>
      <c r="C43" s="2"/>
      <c r="D43" s="2" t="str">
        <f t="shared" si="0"/>
        <v>551556 (5.6)</v>
      </c>
      <c r="E43" s="2"/>
      <c r="F43" s="2"/>
    </row>
    <row r="44" spans="1:6" x14ac:dyDescent="0.25">
      <c r="A44" t="s">
        <v>21</v>
      </c>
      <c r="B44" s="2"/>
      <c r="C44" s="2"/>
      <c r="D44" s="2" t="str">
        <f t="shared" si="0"/>
        <v>5067390 (51.6)</v>
      </c>
      <c r="E44" s="2"/>
      <c r="F44" s="2"/>
    </row>
    <row r="45" spans="1:6" x14ac:dyDescent="0.25">
      <c r="A45" t="s">
        <v>22</v>
      </c>
      <c r="B45" s="2"/>
      <c r="C45" s="2"/>
      <c r="D45" s="2" t="str">
        <f t="shared" si="0"/>
        <v>123636 (1.3)</v>
      </c>
      <c r="E45" s="2"/>
      <c r="F45" s="2"/>
    </row>
    <row r="46" spans="1:6" x14ac:dyDescent="0.25">
      <c r="A46" t="s">
        <v>23</v>
      </c>
      <c r="B46" s="2"/>
      <c r="C46" s="2"/>
      <c r="D46" s="2" t="str">
        <f t="shared" si="0"/>
        <v>2613 (0)</v>
      </c>
      <c r="E46" s="2"/>
      <c r="F46" s="2"/>
    </row>
    <row r="47" spans="1:6" x14ac:dyDescent="0.25">
      <c r="A47" t="s">
        <v>24</v>
      </c>
      <c r="B47" s="2"/>
      <c r="C47" s="2"/>
      <c r="D47" s="2" t="str">
        <f t="shared" si="0"/>
        <v>77555 (0.8)</v>
      </c>
      <c r="E47" s="2"/>
      <c r="F47" s="2"/>
    </row>
    <row r="48" spans="1:6" x14ac:dyDescent="0.25">
      <c r="A48" t="s">
        <v>25</v>
      </c>
      <c r="B48" s="2"/>
      <c r="C48" s="2"/>
      <c r="D48" s="2" t="str">
        <f t="shared" si="0"/>
        <v>30013 (0.3)</v>
      </c>
      <c r="E48" s="2"/>
      <c r="F48" s="2"/>
    </row>
    <row r="49" spans="1:6" x14ac:dyDescent="0.25">
      <c r="A49" t="s">
        <v>26</v>
      </c>
      <c r="B49" s="2"/>
      <c r="C49" s="2"/>
      <c r="D49" s="2" t="str">
        <f t="shared" si="0"/>
        <v>1750403 (17.8)</v>
      </c>
      <c r="E49" s="2"/>
      <c r="F49" s="2"/>
    </row>
    <row r="50" spans="1:6" x14ac:dyDescent="0.25">
      <c r="A50" t="s">
        <v>27</v>
      </c>
      <c r="B50" s="2"/>
      <c r="C50" s="2"/>
      <c r="D50" s="2" t="str">
        <f t="shared" si="0"/>
        <v>433017 (4.4)</v>
      </c>
      <c r="E50" s="2"/>
      <c r="F50" s="2"/>
    </row>
    <row r="51" spans="1:6" x14ac:dyDescent="0.25">
      <c r="A51" t="s">
        <v>17</v>
      </c>
      <c r="B51" s="2"/>
      <c r="C51" s="2"/>
      <c r="D51" s="2" t="str">
        <f t="shared" si="0"/>
        <v>151175 (1.5)</v>
      </c>
      <c r="E51" s="2"/>
      <c r="F51" s="2"/>
    </row>
    <row r="52" spans="1:6" x14ac:dyDescent="0.25">
      <c r="A52" t="s">
        <v>18</v>
      </c>
      <c r="B52" s="2"/>
      <c r="C52" s="2"/>
      <c r="D52" s="2" t="str">
        <f t="shared" si="0"/>
        <v>63437 (0.6)</v>
      </c>
      <c r="E52" s="2"/>
      <c r="F52" s="2"/>
    </row>
  </sheetData>
  <conditionalFormatting sqref="K5:K23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{9A859608-B10C-4248-B534-204705D6B919}</x14:id>
        </ext>
      </extLst>
    </cfRule>
  </conditionalFormatting>
  <conditionalFormatting sqref="B34:F5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{B67A1D08-565F-41C9-9ABB-6C17E5CA0569}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859608-B10C-4248-B534-204705D6B9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K5:K23</xm:sqref>
        </x14:conditionalFormatting>
        <x14:conditionalFormatting xmlns:xm="http://schemas.microsoft.com/office/excel/2006/main">
          <x14:cfRule type="dataBar" id="{B67A1D08-565F-41C9-9ABB-6C17E5CA05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B34:F52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pivot_landuse_Area_BivarLA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Changho</cp:lastModifiedBy>
  <dcterms:created xsi:type="dcterms:W3CDTF">2025-10-21T10:17:54Z</dcterms:created>
  <dcterms:modified xsi:type="dcterms:W3CDTF">2025-10-21T10:17:54Z</dcterms:modified>
</cp:coreProperties>
</file>